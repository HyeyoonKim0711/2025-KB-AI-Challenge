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A472A727-D8C9-49E7-8457-F5FF3DA76A07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안내사항" sheetId="11" r:id="rId1"/>
    <sheet name="금액방식-고정가격(일반)" sheetId="1" r:id="rId2"/>
    <sheet name="금액방식-고정가격(절충)" sheetId="4" r:id="rId3"/>
    <sheet name="금액방식-변동가격" sheetId="5" r:id="rId4"/>
    <sheet name="지분방식" sheetId="7" r:id="rId5"/>
    <sheet name="수탁기관 분배량 시뮬레이션" sheetId="3" r:id="rId6"/>
    <sheet name="산출 Sheet" sheetId="17" state="hidden" r:id="rId7"/>
  </sheets>
  <definedNames>
    <definedName name="_xlnm._FilterDatabase" localSheetId="5" hidden="1">'수탁기관 분배량 시뮬레이션'!$B$1:$Y$101</definedName>
    <definedName name="_xlnm.Print_Area" localSheetId="1">'금액방식-고정가격(일반)'!$A$1:$L$18</definedName>
    <definedName name="_xlnm.Print_Area" localSheetId="2">'금액방식-고정가격(절충)'!$A$1:$L$18</definedName>
    <definedName name="_xlnm.Print_Area" localSheetId="3">'금액방식-변동가격'!$A$1:$L$18</definedName>
    <definedName name="_xlnm.Print_Area" localSheetId="5">'수탁기관 분배량 시뮬레이션'!$A$1:$AO$93</definedName>
    <definedName name="_xlnm.Print_Area" localSheetId="4">지분방식!$A$1:$J$36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7" l="1"/>
  <c r="B4" i="17"/>
  <c r="B5" i="17"/>
  <c r="B6" i="17"/>
  <c r="B7" i="17"/>
  <c r="B8" i="17"/>
  <c r="B9" i="17"/>
  <c r="B10" i="17"/>
  <c r="B11" i="17"/>
  <c r="B2" i="17"/>
  <c r="L55" i="3" l="1"/>
  <c r="C5" i="17"/>
  <c r="D5" i="17" s="1"/>
  <c r="C6" i="17"/>
  <c r="D6" i="17" s="1"/>
  <c r="C7" i="17"/>
  <c r="D7" i="17" s="1"/>
  <c r="C8" i="17"/>
  <c r="D8" i="17" s="1"/>
  <c r="C9" i="17"/>
  <c r="D9" i="17" s="1"/>
  <c r="C10" i="17"/>
  <c r="D10" i="17" s="1"/>
  <c r="C2" i="17"/>
  <c r="M63" i="3"/>
  <c r="U55" i="3"/>
  <c r="T55" i="3"/>
  <c r="S55" i="3"/>
  <c r="R55" i="3"/>
  <c r="Q55" i="3"/>
  <c r="P55" i="3"/>
  <c r="O55" i="3"/>
  <c r="N55" i="3"/>
  <c r="M55" i="3"/>
  <c r="C4" i="17"/>
  <c r="D4" i="17" s="1"/>
  <c r="C11" i="17"/>
  <c r="U54" i="3"/>
  <c r="T54" i="3"/>
  <c r="S54" i="3"/>
  <c r="R54" i="3"/>
  <c r="Q54" i="3"/>
  <c r="P54" i="3"/>
  <c r="O54" i="3"/>
  <c r="N54" i="3"/>
  <c r="M54" i="3"/>
  <c r="L54" i="3"/>
  <c r="D11" i="17" l="1"/>
  <c r="C3" i="17"/>
  <c r="D3" i="17" s="1"/>
  <c r="D2" i="17"/>
  <c r="AC63" i="3" l="1"/>
  <c r="F58" i="3"/>
  <c r="AE63" i="3" s="1"/>
  <c r="F59" i="3"/>
  <c r="AF63" i="3" s="1"/>
  <c r="F60" i="3"/>
  <c r="AG63" i="3" s="1"/>
  <c r="F61" i="3"/>
  <c r="AH63" i="3" s="1"/>
  <c r="F62" i="3"/>
  <c r="AI63" i="3" s="1"/>
  <c r="F63" i="3"/>
  <c r="AJ63" i="3" s="1"/>
  <c r="F64" i="3"/>
  <c r="AK63" i="3" s="1"/>
  <c r="F65" i="3"/>
  <c r="AL63" i="3" s="1"/>
  <c r="F57" i="3"/>
  <c r="AD63" i="3" s="1"/>
  <c r="AL59" i="3"/>
  <c r="AK59" i="3"/>
  <c r="AJ59" i="3"/>
  <c r="AI59" i="3"/>
  <c r="AH59" i="3"/>
  <c r="AG59" i="3"/>
  <c r="AF59" i="3"/>
  <c r="AE59" i="3"/>
  <c r="AD59" i="3"/>
  <c r="AC59" i="3"/>
  <c r="AL57" i="3"/>
  <c r="AK57" i="3"/>
  <c r="AJ57" i="3"/>
  <c r="AI57" i="3"/>
  <c r="AH57" i="3"/>
  <c r="AG57" i="3"/>
  <c r="AF57" i="3"/>
  <c r="AE57" i="3"/>
  <c r="AD57" i="3"/>
  <c r="AC57" i="3"/>
  <c r="AL55" i="3"/>
  <c r="AK55" i="3"/>
  <c r="AJ55" i="3"/>
  <c r="AI55" i="3"/>
  <c r="AH55" i="3"/>
  <c r="AG55" i="3"/>
  <c r="AF55" i="3"/>
  <c r="AE55" i="3"/>
  <c r="AD55" i="3"/>
  <c r="AC55" i="3"/>
  <c r="E17" i="1" l="1"/>
  <c r="F17" i="1"/>
  <c r="F17" i="4"/>
  <c r="E17" i="4"/>
  <c r="E17" i="5"/>
  <c r="F17" i="5"/>
  <c r="G17" i="7"/>
  <c r="F17" i="7"/>
  <c r="E17" i="7" l="1"/>
  <c r="F35" i="7"/>
  <c r="E35" i="7"/>
  <c r="G34" i="7" l="1"/>
  <c r="G33" i="7"/>
  <c r="G32" i="7"/>
  <c r="G31" i="7"/>
  <c r="G30" i="7"/>
  <c r="G29" i="7"/>
  <c r="G28" i="7"/>
  <c r="G27" i="7"/>
  <c r="G26" i="7"/>
  <c r="G25" i="7"/>
  <c r="I16" i="5"/>
  <c r="I15" i="5"/>
  <c r="I14" i="5"/>
  <c r="I13" i="5"/>
  <c r="I12" i="5"/>
  <c r="I11" i="5"/>
  <c r="I10" i="5"/>
  <c r="I9" i="5"/>
  <c r="I8" i="5"/>
  <c r="I7" i="5"/>
  <c r="H17" i="5"/>
  <c r="H9" i="5" s="1"/>
  <c r="G17" i="5"/>
  <c r="G14" i="5" s="1"/>
  <c r="G17" i="4"/>
  <c r="G17" i="1"/>
  <c r="G12" i="1" s="1"/>
  <c r="U87" i="3"/>
  <c r="T87" i="3"/>
  <c r="S87" i="3"/>
  <c r="R87" i="3"/>
  <c r="Q87" i="3"/>
  <c r="P87" i="3"/>
  <c r="O87" i="3"/>
  <c r="N87" i="3"/>
  <c r="M87" i="3"/>
  <c r="L87" i="3"/>
  <c r="U86" i="3"/>
  <c r="T86" i="3"/>
  <c r="S86" i="3"/>
  <c r="R86" i="3"/>
  <c r="Q86" i="3"/>
  <c r="P86" i="3"/>
  <c r="O86" i="3"/>
  <c r="N86" i="3"/>
  <c r="M86" i="3"/>
  <c r="L86" i="3"/>
  <c r="U85" i="3"/>
  <c r="T85" i="3"/>
  <c r="S85" i="3"/>
  <c r="R85" i="3"/>
  <c r="Q85" i="3"/>
  <c r="P85" i="3"/>
  <c r="O85" i="3"/>
  <c r="N85" i="3"/>
  <c r="M85" i="3"/>
  <c r="L85" i="3"/>
  <c r="U84" i="3"/>
  <c r="T84" i="3"/>
  <c r="S84" i="3"/>
  <c r="R84" i="3"/>
  <c r="Q84" i="3"/>
  <c r="P84" i="3"/>
  <c r="O84" i="3"/>
  <c r="N84" i="3"/>
  <c r="M84" i="3"/>
  <c r="L84" i="3"/>
  <c r="U63" i="3"/>
  <c r="T63" i="3"/>
  <c r="S63" i="3"/>
  <c r="R63" i="3"/>
  <c r="Q63" i="3"/>
  <c r="P63" i="3"/>
  <c r="O63" i="3"/>
  <c r="N63" i="3"/>
  <c r="L63" i="3"/>
  <c r="U59" i="3"/>
  <c r="U61" i="3" s="1"/>
  <c r="T59" i="3"/>
  <c r="T61" i="3" s="1"/>
  <c r="S59" i="3"/>
  <c r="S61" i="3" s="1"/>
  <c r="R59" i="3"/>
  <c r="R61" i="3" s="1"/>
  <c r="Q59" i="3"/>
  <c r="Q61" i="3" s="1"/>
  <c r="P59" i="3"/>
  <c r="P61" i="3" s="1"/>
  <c r="O59" i="3"/>
  <c r="O61" i="3" s="1"/>
  <c r="N59" i="3"/>
  <c r="N61" i="3" s="1"/>
  <c r="M59" i="3"/>
  <c r="M61" i="3" s="1"/>
  <c r="L59" i="3"/>
  <c r="L61" i="3" s="1"/>
  <c r="U57" i="3"/>
  <c r="T57" i="3"/>
  <c r="S57" i="3"/>
  <c r="R57" i="3"/>
  <c r="Q57" i="3"/>
  <c r="P57" i="3"/>
  <c r="O57" i="3"/>
  <c r="N57" i="3"/>
  <c r="M57" i="3"/>
  <c r="L57" i="3"/>
  <c r="L41" i="3"/>
  <c r="U41" i="3"/>
  <c r="T41" i="3"/>
  <c r="S41" i="3"/>
  <c r="R41" i="3"/>
  <c r="Q41" i="3"/>
  <c r="P41" i="3"/>
  <c r="O41" i="3"/>
  <c r="N41" i="3"/>
  <c r="M41" i="3"/>
  <c r="U40" i="3"/>
  <c r="T40" i="3"/>
  <c r="S40" i="3"/>
  <c r="R40" i="3"/>
  <c r="Q40" i="3"/>
  <c r="P40" i="3"/>
  <c r="O40" i="3"/>
  <c r="N40" i="3"/>
  <c r="M40" i="3"/>
  <c r="L40" i="3"/>
  <c r="U39" i="3"/>
  <c r="T39" i="3"/>
  <c r="S39" i="3"/>
  <c r="R39" i="3"/>
  <c r="Q39" i="3"/>
  <c r="P39" i="3"/>
  <c r="O39" i="3"/>
  <c r="N39" i="3"/>
  <c r="M39" i="3"/>
  <c r="L39" i="3"/>
  <c r="U37" i="3"/>
  <c r="T37" i="3"/>
  <c r="S37" i="3"/>
  <c r="R37" i="3"/>
  <c r="Q37" i="3"/>
  <c r="P37" i="3"/>
  <c r="O37" i="3"/>
  <c r="N37" i="3"/>
  <c r="M37" i="3"/>
  <c r="L37" i="3"/>
  <c r="U26" i="3"/>
  <c r="T26" i="3"/>
  <c r="S26" i="3"/>
  <c r="R26" i="3"/>
  <c r="Q26" i="3"/>
  <c r="P26" i="3"/>
  <c r="O26" i="3"/>
  <c r="N26" i="3"/>
  <c r="M26" i="3"/>
  <c r="L26" i="3"/>
  <c r="M38" i="3"/>
  <c r="N38" i="3"/>
  <c r="O38" i="3"/>
  <c r="P38" i="3"/>
  <c r="Q38" i="3"/>
  <c r="R38" i="3"/>
  <c r="S38" i="3"/>
  <c r="T38" i="3"/>
  <c r="U38" i="3"/>
  <c r="L38" i="3"/>
  <c r="D38" i="3"/>
  <c r="D37" i="3"/>
  <c r="M29" i="3"/>
  <c r="N29" i="3"/>
  <c r="O29" i="3"/>
  <c r="P29" i="3"/>
  <c r="Q29" i="3"/>
  <c r="R29" i="3"/>
  <c r="S29" i="3"/>
  <c r="T29" i="3"/>
  <c r="U29" i="3"/>
  <c r="L29" i="3"/>
  <c r="M27" i="3"/>
  <c r="N27" i="3"/>
  <c r="O27" i="3"/>
  <c r="P27" i="3"/>
  <c r="Q27" i="3"/>
  <c r="R27" i="3"/>
  <c r="S27" i="3"/>
  <c r="T27" i="3"/>
  <c r="U27" i="3"/>
  <c r="L27" i="3"/>
  <c r="D14" i="3"/>
  <c r="M28" i="3"/>
  <c r="N28" i="3"/>
  <c r="O28" i="3"/>
  <c r="P28" i="3"/>
  <c r="Q28" i="3"/>
  <c r="R28" i="3"/>
  <c r="S28" i="3"/>
  <c r="T28" i="3"/>
  <c r="U28" i="3"/>
  <c r="L28" i="3"/>
  <c r="D12" i="3"/>
  <c r="O88" i="3" s="1"/>
  <c r="M44" i="3" l="1"/>
  <c r="M45" i="3" s="1"/>
  <c r="AD61" i="3"/>
  <c r="AD65" i="3" s="1"/>
  <c r="AD69" i="3" s="1"/>
  <c r="AC61" i="3"/>
  <c r="AL61" i="3"/>
  <c r="AL65" i="3" s="1"/>
  <c r="AL69" i="3" s="1"/>
  <c r="AK61" i="3"/>
  <c r="AK65" i="3" s="1"/>
  <c r="AK69" i="3" s="1"/>
  <c r="AE61" i="3"/>
  <c r="AE65" i="3" s="1"/>
  <c r="AE69" i="3" s="1"/>
  <c r="AG61" i="3"/>
  <c r="AG65" i="3" s="1"/>
  <c r="AG69" i="3" s="1"/>
  <c r="AH61" i="3"/>
  <c r="AH65" i="3" s="1"/>
  <c r="AH69" i="3" s="1"/>
  <c r="AJ61" i="3"/>
  <c r="AJ65" i="3" s="1"/>
  <c r="AJ69" i="3" s="1"/>
  <c r="AF61" i="3"/>
  <c r="AF65" i="3" s="1"/>
  <c r="AF69" i="3" s="1"/>
  <c r="AI61" i="3"/>
  <c r="AI65" i="3" s="1"/>
  <c r="AI69" i="3" s="1"/>
  <c r="R65" i="3"/>
  <c r="J13" i="5" s="1"/>
  <c r="O44" i="3"/>
  <c r="O45" i="3" s="1"/>
  <c r="S65" i="3"/>
  <c r="P65" i="3"/>
  <c r="L65" i="3"/>
  <c r="Q65" i="3"/>
  <c r="N44" i="3"/>
  <c r="N45" i="3" s="1"/>
  <c r="H14" i="5"/>
  <c r="P44" i="3"/>
  <c r="P45" i="3" s="1"/>
  <c r="T65" i="3"/>
  <c r="V39" i="3"/>
  <c r="N42" i="3"/>
  <c r="N43" i="3" s="1"/>
  <c r="Q44" i="3"/>
  <c r="Q45" i="3" s="1"/>
  <c r="U65" i="3"/>
  <c r="R44" i="3"/>
  <c r="R45" i="3" s="1"/>
  <c r="S44" i="3"/>
  <c r="S45" i="3" s="1"/>
  <c r="Q42" i="3"/>
  <c r="Q43" i="3" s="1"/>
  <c r="T44" i="3"/>
  <c r="T45" i="3" s="1"/>
  <c r="U44" i="3"/>
  <c r="U45" i="3" s="1"/>
  <c r="L44" i="3"/>
  <c r="L45" i="3" s="1"/>
  <c r="N65" i="3"/>
  <c r="O65" i="3"/>
  <c r="H13" i="5"/>
  <c r="H7" i="5"/>
  <c r="H12" i="5"/>
  <c r="H8" i="5"/>
  <c r="H11" i="5"/>
  <c r="H16" i="5"/>
  <c r="H10" i="5"/>
  <c r="H15" i="5"/>
  <c r="M88" i="3"/>
  <c r="M89" i="3" s="1"/>
  <c r="S88" i="3"/>
  <c r="S89" i="3" s="1"/>
  <c r="H25" i="7"/>
  <c r="O91" i="3"/>
  <c r="O89" i="3"/>
  <c r="R88" i="3"/>
  <c r="T88" i="3"/>
  <c r="N88" i="3"/>
  <c r="H7" i="7"/>
  <c r="Q88" i="3"/>
  <c r="L88" i="3"/>
  <c r="P88" i="3"/>
  <c r="U88" i="3"/>
  <c r="M42" i="3"/>
  <c r="M43" i="3" s="1"/>
  <c r="O42" i="3"/>
  <c r="O43" i="3" s="1"/>
  <c r="M65" i="3"/>
  <c r="M69" i="3" s="1"/>
  <c r="L42" i="3"/>
  <c r="L43" i="3" s="1"/>
  <c r="P42" i="3"/>
  <c r="P43" i="3" s="1"/>
  <c r="R42" i="3"/>
  <c r="R43" i="3" s="1"/>
  <c r="S42" i="3"/>
  <c r="S43" i="3" s="1"/>
  <c r="T42" i="3"/>
  <c r="T43" i="3" s="1"/>
  <c r="U42" i="3"/>
  <c r="U43" i="3" s="1"/>
  <c r="AM57" i="3" l="1"/>
  <c r="AC65" i="3"/>
  <c r="R69" i="3"/>
  <c r="J16" i="5"/>
  <c r="U69" i="3"/>
  <c r="J12" i="5"/>
  <c r="Q69" i="3"/>
  <c r="J11" i="5"/>
  <c r="P69" i="3"/>
  <c r="J10" i="5"/>
  <c r="O69" i="3"/>
  <c r="J14" i="5"/>
  <c r="S69" i="3"/>
  <c r="J15" i="5"/>
  <c r="T69" i="3"/>
  <c r="J9" i="5"/>
  <c r="N69" i="3"/>
  <c r="L67" i="3"/>
  <c r="M67" i="3" s="1"/>
  <c r="N67" i="3" s="1"/>
  <c r="O67" i="3" s="1"/>
  <c r="P67" i="3" s="1"/>
  <c r="Q67" i="3" s="1"/>
  <c r="R67" i="3" s="1"/>
  <c r="S67" i="3" s="1"/>
  <c r="T67" i="3" s="1"/>
  <c r="U67" i="3" s="1"/>
  <c r="L69" i="3"/>
  <c r="J7" i="5"/>
  <c r="S91" i="3"/>
  <c r="M91" i="3"/>
  <c r="V67" i="3"/>
  <c r="J8" i="5"/>
  <c r="V57" i="3"/>
  <c r="U91" i="3"/>
  <c r="U89" i="3"/>
  <c r="R91" i="3"/>
  <c r="R89" i="3"/>
  <c r="P89" i="3"/>
  <c r="P91" i="3"/>
  <c r="Q89" i="3"/>
  <c r="Q91" i="3"/>
  <c r="N89" i="3"/>
  <c r="N91" i="3"/>
  <c r="T89" i="3"/>
  <c r="T91" i="3"/>
  <c r="L89" i="3"/>
  <c r="L90" i="3" s="1"/>
  <c r="M90" i="3" s="1"/>
  <c r="L91" i="3"/>
  <c r="L92" i="3" s="1"/>
  <c r="G11" i="7"/>
  <c r="I11" i="7" s="1"/>
  <c r="AC69" i="3" l="1"/>
  <c r="AM67" i="3"/>
  <c r="AC67" i="3"/>
  <c r="AD67" i="3" s="1"/>
  <c r="AE67" i="3" s="1"/>
  <c r="AF67" i="3" s="1"/>
  <c r="AG67" i="3" s="1"/>
  <c r="AH67" i="3" s="1"/>
  <c r="AI67" i="3" s="1"/>
  <c r="AJ67" i="3" s="1"/>
  <c r="AK67" i="3" s="1"/>
  <c r="AL67" i="3" s="1"/>
  <c r="M92" i="3"/>
  <c r="N92" i="3" s="1"/>
  <c r="O92" i="3" s="1"/>
  <c r="P92" i="3" s="1"/>
  <c r="Q92" i="3" s="1"/>
  <c r="R92" i="3" s="1"/>
  <c r="S92" i="3" s="1"/>
  <c r="T92" i="3" s="1"/>
  <c r="U92" i="3" s="1"/>
  <c r="N90" i="3"/>
  <c r="O90" i="3" s="1"/>
  <c r="P90" i="3" s="1"/>
  <c r="Q90" i="3" s="1"/>
  <c r="R90" i="3" s="1"/>
  <c r="N46" i="3"/>
  <c r="J9" i="4" s="1"/>
  <c r="S46" i="3"/>
  <c r="J14" i="4" s="1"/>
  <c r="P46" i="3"/>
  <c r="J11" i="4" s="1"/>
  <c r="M46" i="3"/>
  <c r="U46" i="3"/>
  <c r="J16" i="4" s="1"/>
  <c r="R46" i="3"/>
  <c r="J13" i="4" s="1"/>
  <c r="Q46" i="3"/>
  <c r="J12" i="4" s="1"/>
  <c r="L46" i="3"/>
  <c r="O46" i="3"/>
  <c r="J10" i="4" s="1"/>
  <c r="T46" i="3"/>
  <c r="J15" i="4" s="1"/>
  <c r="V87" i="3"/>
  <c r="G35" i="7"/>
  <c r="G10" i="7"/>
  <c r="I10" i="7" s="1"/>
  <c r="G14" i="7"/>
  <c r="I14" i="7" s="1"/>
  <c r="G8" i="7"/>
  <c r="I8" i="7" s="1"/>
  <c r="G13" i="7"/>
  <c r="I13" i="7" s="1"/>
  <c r="G7" i="7"/>
  <c r="I7" i="7" s="1"/>
  <c r="G9" i="7"/>
  <c r="I9" i="7" s="1"/>
  <c r="G16" i="7"/>
  <c r="I16" i="7" s="1"/>
  <c r="G12" i="7"/>
  <c r="I12" i="7" s="1"/>
  <c r="G15" i="7"/>
  <c r="I15" i="7" s="1"/>
  <c r="J8" i="4" l="1"/>
  <c r="L47" i="3"/>
  <c r="M47" i="3" s="1"/>
  <c r="N47" i="3" s="1"/>
  <c r="O47" i="3" s="1"/>
  <c r="P47" i="3" s="1"/>
  <c r="Q47" i="3" s="1"/>
  <c r="R47" i="3" s="1"/>
  <c r="S47" i="3" s="1"/>
  <c r="T47" i="3" s="1"/>
  <c r="U47" i="3" s="1"/>
  <c r="J7" i="4"/>
  <c r="V46" i="3"/>
  <c r="S90" i="3"/>
  <c r="I7" i="4"/>
  <c r="T90" i="3" l="1"/>
  <c r="Q30" i="3"/>
  <c r="U30" i="3"/>
  <c r="L30" i="3"/>
  <c r="N30" i="3"/>
  <c r="O30" i="3"/>
  <c r="P30" i="3"/>
  <c r="R30" i="3"/>
  <c r="T30" i="3"/>
  <c r="S30" i="3"/>
  <c r="V29" i="3"/>
  <c r="M30" i="3"/>
  <c r="I7" i="1"/>
  <c r="H17" i="4"/>
  <c r="H17" i="1"/>
  <c r="G13" i="4"/>
  <c r="H7" i="4" l="1"/>
  <c r="H14" i="4"/>
  <c r="J10" i="1"/>
  <c r="J16" i="1"/>
  <c r="J11" i="1"/>
  <c r="J12" i="1"/>
  <c r="J13" i="1"/>
  <c r="J8" i="1"/>
  <c r="J14" i="1"/>
  <c r="J7" i="1"/>
  <c r="J9" i="1"/>
  <c r="J15" i="1"/>
  <c r="L31" i="3"/>
  <c r="M31" i="3" s="1"/>
  <c r="U90" i="3"/>
  <c r="G16" i="5"/>
  <c r="G10" i="5"/>
  <c r="G11" i="5"/>
  <c r="G7" i="5"/>
  <c r="G12" i="5"/>
  <c r="G8" i="5"/>
  <c r="G15" i="5"/>
  <c r="G9" i="5"/>
  <c r="G13" i="5"/>
  <c r="H13" i="4"/>
  <c r="H8" i="4"/>
  <c r="H16" i="4"/>
  <c r="H9" i="4"/>
  <c r="H12" i="4"/>
  <c r="H10" i="4"/>
  <c r="H15" i="4"/>
  <c r="H11" i="4"/>
  <c r="G8" i="4"/>
  <c r="G12" i="4"/>
  <c r="G16" i="4"/>
  <c r="G10" i="4"/>
  <c r="G14" i="4"/>
  <c r="G9" i="4"/>
  <c r="G7" i="4"/>
  <c r="G11" i="4"/>
  <c r="G15" i="4"/>
  <c r="N31" i="3" l="1"/>
  <c r="O31" i="3" l="1"/>
  <c r="P31" i="3" s="1"/>
  <c r="Q31" i="3" l="1"/>
  <c r="G7" i="1"/>
  <c r="I31" i="7" l="1"/>
  <c r="I30" i="7"/>
  <c r="I34" i="7"/>
  <c r="I32" i="7"/>
  <c r="I28" i="7"/>
  <c r="I33" i="7"/>
  <c r="I25" i="7"/>
  <c r="I26" i="7"/>
  <c r="I27" i="7"/>
  <c r="I29" i="7"/>
  <c r="R31" i="3"/>
  <c r="H7" i="1"/>
  <c r="I35" i="7" l="1"/>
  <c r="S31" i="3"/>
  <c r="K7" i="1"/>
  <c r="H15" i="1"/>
  <c r="H16" i="1"/>
  <c r="H12" i="1"/>
  <c r="H14" i="1"/>
  <c r="H13" i="1"/>
  <c r="H11" i="1"/>
  <c r="H10" i="1"/>
  <c r="H9" i="1"/>
  <c r="H8" i="1"/>
  <c r="G16" i="1"/>
  <c r="G15" i="1"/>
  <c r="G14" i="1"/>
  <c r="G13" i="1"/>
  <c r="G11" i="1"/>
  <c r="G10" i="1"/>
  <c r="G9" i="1"/>
  <c r="G8" i="1"/>
  <c r="K8" i="1" s="1"/>
  <c r="T31" i="3" l="1"/>
  <c r="K9" i="1"/>
  <c r="K10" i="1"/>
  <c r="K11" i="1"/>
  <c r="K12" i="1"/>
  <c r="K13" i="1"/>
  <c r="K14" i="1"/>
  <c r="K16" i="1"/>
  <c r="K15" i="1"/>
  <c r="J17" i="1"/>
  <c r="U31" i="3" l="1"/>
  <c r="V31" i="3" s="1"/>
  <c r="K16" i="4" l="1"/>
  <c r="K12" i="4"/>
  <c r="K8" i="4"/>
  <c r="K10" i="4"/>
  <c r="K14" i="4"/>
  <c r="K15" i="4"/>
  <c r="K11" i="4"/>
  <c r="K9" i="4"/>
  <c r="K13" i="4"/>
  <c r="J17" i="4" l="1"/>
  <c r="K8" i="5"/>
  <c r="K16" i="5"/>
  <c r="K13" i="5"/>
  <c r="K12" i="5"/>
  <c r="K15" i="5"/>
  <c r="K11" i="5"/>
  <c r="K9" i="5"/>
  <c r="K10" i="5"/>
  <c r="K14" i="5"/>
  <c r="J17" i="5" l="1"/>
  <c r="K7" i="5"/>
  <c r="I17" i="7" l="1"/>
</calcChain>
</file>

<file path=xl/sharedStrings.xml><?xml version="1.0" encoding="utf-8"?>
<sst xmlns="http://schemas.openxmlformats.org/spreadsheetml/2006/main" count="335" uniqueCount="174">
  <si>
    <t>예상 온실가스 감축량</t>
  </si>
  <si>
    <r>
      <t>(tCO</t>
    </r>
    <r>
      <rPr>
        <b/>
        <vertAlign val="subscript"/>
        <sz val="10"/>
        <color rgb="FF000000"/>
        <rFont val="맑은 고딕"/>
        <family val="3"/>
        <charset val="129"/>
        <scheme val="minor"/>
      </rPr>
      <t>2</t>
    </r>
    <r>
      <rPr>
        <b/>
        <sz val="10"/>
        <color rgb="FF000000"/>
        <rFont val="맑은 고딕"/>
        <family val="3"/>
        <charset val="129"/>
        <scheme val="minor"/>
      </rPr>
      <t>-eq)</t>
    </r>
  </si>
  <si>
    <t>국제감축실적 (예상)발행량</t>
  </si>
  <si>
    <t>1차연도</t>
  </si>
  <si>
    <t>2차연도</t>
  </si>
  <si>
    <t>3차연도</t>
  </si>
  <si>
    <t>10차연도</t>
  </si>
  <si>
    <t>계</t>
  </si>
  <si>
    <t>4차연도</t>
  </si>
  <si>
    <t>5차연도</t>
  </si>
  <si>
    <t>6차연도</t>
  </si>
  <si>
    <t>7차연도</t>
  </si>
  <si>
    <t>8차연도</t>
  </si>
  <si>
    <t>9차연도</t>
  </si>
  <si>
    <t>정부부담률</t>
    <phoneticPr fontId="2" type="noConversion"/>
  </si>
  <si>
    <t>항 목</t>
  </si>
  <si>
    <t>운영비</t>
  </si>
  <si>
    <t>기타 비용</t>
    <phoneticPr fontId="2" type="noConversion"/>
  </si>
  <si>
    <t>(억)</t>
  </si>
  <si>
    <t>(원)</t>
  </si>
  <si>
    <t>국내(예상) 분배량
(A)</t>
    <phoneticPr fontId="2" type="noConversion"/>
  </si>
  <si>
    <t>비율 (A/B)</t>
    <phoneticPr fontId="2" type="noConversion"/>
  </si>
  <si>
    <t>분배
연도</t>
    <phoneticPr fontId="2" type="noConversion"/>
  </si>
  <si>
    <t>고시 가격</t>
    <phoneticPr fontId="2" type="noConversion"/>
  </si>
  <si>
    <r>
      <t>(tCO</t>
    </r>
    <r>
      <rPr>
        <b/>
        <vertAlign val="subscript"/>
        <sz val="10"/>
        <color rgb="FF000000"/>
        <rFont val="맑은 고딕"/>
        <family val="3"/>
        <charset val="129"/>
        <scheme val="minor"/>
      </rPr>
      <t>2</t>
    </r>
    <r>
      <rPr>
        <b/>
        <sz val="10"/>
        <color rgb="FF000000"/>
        <rFont val="맑은 고딕"/>
        <family val="3"/>
        <charset val="129"/>
        <scheme val="minor"/>
      </rPr>
      <t>-eq)</t>
    </r>
    <phoneticPr fontId="2" type="noConversion"/>
  </si>
  <si>
    <t>연도별 국내(예상) 분배량</t>
    <phoneticPr fontId="2" type="noConversion"/>
  </si>
  <si>
    <t>감축설비 투자비 (직접비)</t>
    <phoneticPr fontId="2" type="noConversion"/>
  </si>
  <si>
    <t>변
동
가
격</t>
    <phoneticPr fontId="2" type="noConversion"/>
  </si>
  <si>
    <t>단위 : (원, tCO2-eq)</t>
    <phoneticPr fontId="2" type="noConversion"/>
  </si>
  <si>
    <t>총사업비 (원)</t>
    <phoneticPr fontId="2" type="noConversion"/>
  </si>
  <si>
    <t>고
정
가
격
(일반)</t>
    <phoneticPr fontId="2" type="noConversion"/>
  </si>
  <si>
    <t>고
정
가
격
(절충)</t>
    <phoneticPr fontId="2" type="noConversion"/>
  </si>
  <si>
    <t>고 정
가 격
[일반]</t>
    <phoneticPr fontId="2" type="noConversion"/>
  </si>
  <si>
    <t>지 원 금
합 계
및
환 산 금 액</t>
    <phoneticPr fontId="2" type="noConversion"/>
  </si>
  <si>
    <t>II</t>
    <phoneticPr fontId="2" type="noConversion"/>
  </si>
  <si>
    <t xml:space="preserve"> </t>
    <phoneticPr fontId="2" type="noConversion"/>
  </si>
  <si>
    <t>가격 절충 필요여부</t>
    <phoneticPr fontId="2" type="noConversion"/>
  </si>
  <si>
    <t>협약 체결 시점 고시가격 (A)</t>
    <phoneticPr fontId="2" type="noConversion"/>
  </si>
  <si>
    <t>고시가격 대비 변화율 (B/A)</t>
    <phoneticPr fontId="2" type="noConversion"/>
  </si>
  <si>
    <t>장기고정가격(절충)</t>
    <phoneticPr fontId="2" type="noConversion"/>
  </si>
  <si>
    <t>가격 절충분</t>
    <phoneticPr fontId="2" type="noConversion"/>
  </si>
  <si>
    <t>지 원 금
합 계</t>
    <phoneticPr fontId="2" type="noConversion"/>
  </si>
  <si>
    <t>최초 실적 발급연도</t>
    <phoneticPr fontId="2" type="noConversion"/>
  </si>
  <si>
    <t>원</t>
    <phoneticPr fontId="2" type="noConversion"/>
  </si>
  <si>
    <t>(원)</t>
    <phoneticPr fontId="2" type="noConversion"/>
  </si>
  <si>
    <t>국내(예상) 분배량</t>
    <phoneticPr fontId="2" type="noConversion"/>
  </si>
  <si>
    <t>지
분
방
식</t>
    <phoneticPr fontId="2" type="noConversion"/>
  </si>
  <si>
    <t>연도별 국내(실제) 분배량</t>
    <phoneticPr fontId="2" type="noConversion"/>
  </si>
  <si>
    <t>예 상</t>
    <phoneticPr fontId="2" type="noConversion"/>
  </si>
  <si>
    <t>실 제</t>
    <phoneticPr fontId="2" type="noConversion"/>
  </si>
  <si>
    <t>고
정
가
격
[절충]</t>
    <phoneticPr fontId="2" type="noConversion"/>
  </si>
  <si>
    <t>국제감축실적 (실제)발행량</t>
    <phoneticPr fontId="2" type="noConversion"/>
  </si>
  <si>
    <t>국내(실제) 분배량</t>
    <phoneticPr fontId="2" type="noConversion"/>
  </si>
  <si>
    <t>원</t>
    <phoneticPr fontId="2" type="noConversion"/>
  </si>
  <si>
    <t xml:space="preserve">  - 누적기간 환산량</t>
    <phoneticPr fontId="2" type="noConversion"/>
  </si>
  <si>
    <t>참 조</t>
    <phoneticPr fontId="2" type="noConversion"/>
  </si>
  <si>
    <t xml:space="preserve">                선 택                  ▼</t>
    <phoneticPr fontId="2" type="noConversion"/>
  </si>
  <si>
    <t>[가격 절충 범위] 상승 시</t>
    <phoneticPr fontId="2" type="noConversion"/>
  </si>
  <si>
    <t>원</t>
    <phoneticPr fontId="2" type="noConversion"/>
  </si>
  <si>
    <t>II</t>
    <phoneticPr fontId="2" type="noConversion"/>
  </si>
  <si>
    <t>공 통 사 항 [입 력]</t>
    <phoneticPr fontId="2" type="noConversion"/>
  </si>
  <si>
    <t>개 별 사 항  [입 력]</t>
    <phoneticPr fontId="2" type="noConversion"/>
  </si>
  <si>
    <t>단위 : (원, tCO2-eq)</t>
    <phoneticPr fontId="2" type="noConversion"/>
  </si>
  <si>
    <t>지
분
방
식
(예상)</t>
    <phoneticPr fontId="2" type="noConversion"/>
  </si>
  <si>
    <t>지
분
방
식
(실제)</t>
    <phoneticPr fontId="2" type="noConversion"/>
  </si>
  <si>
    <t xml:space="preserve">                선 택                  ▼</t>
    <phoneticPr fontId="2" type="noConversion"/>
  </si>
  <si>
    <t>협약 체결 시점 고시가격</t>
    <phoneticPr fontId="2" type="noConversion"/>
  </si>
  <si>
    <t>[가격 절충 범위] 하락 시</t>
    <phoneticPr fontId="2" type="noConversion"/>
  </si>
  <si>
    <t>DATA INPUT</t>
    <phoneticPr fontId="2" type="noConversion"/>
  </si>
  <si>
    <t>RESULT</t>
    <phoneticPr fontId="2" type="noConversion"/>
  </si>
  <si>
    <t>분배연차</t>
    <phoneticPr fontId="2" type="noConversion"/>
  </si>
  <si>
    <t>분배연도</t>
    <phoneticPr fontId="2" type="noConversion"/>
  </si>
  <si>
    <t>시장가격
분석</t>
    <phoneticPr fontId="2" type="noConversion"/>
  </si>
  <si>
    <t>연도별 국제감축실적 고시가격 (B)</t>
    <phoneticPr fontId="2" type="noConversion"/>
  </si>
  <si>
    <t>실적 발급 시점의 국제감축실적 고시가격</t>
    <phoneticPr fontId="2" type="noConversion"/>
  </si>
  <si>
    <t>고정가격</t>
    <phoneticPr fontId="2" type="noConversion"/>
  </si>
  <si>
    <t>연도별 국제감축실적  고시가격</t>
    <phoneticPr fontId="2" type="noConversion"/>
  </si>
  <si>
    <t xml:space="preserve"> 연도별 분배량</t>
    <phoneticPr fontId="2" type="noConversion"/>
  </si>
  <si>
    <t>누적 분배량</t>
    <phoneticPr fontId="2" type="noConversion"/>
  </si>
  <si>
    <t>정부 지분율 (%)</t>
    <phoneticPr fontId="2" type="noConversion"/>
  </si>
  <si>
    <t>보상 필요량</t>
    <phoneticPr fontId="2" type="noConversion"/>
  </si>
  <si>
    <t>단위 (원, tCO2-eq)</t>
    <phoneticPr fontId="2" type="noConversion"/>
  </si>
  <si>
    <t>[국제감축실적 가격] 1차 분배일자 (원)</t>
    <phoneticPr fontId="2" type="noConversion"/>
  </si>
  <si>
    <t>[국제감축실적 가격] 2차 분배일자</t>
    <phoneticPr fontId="2" type="noConversion"/>
  </si>
  <si>
    <t>[국제감축실적 가격] 3차 분배일자</t>
  </si>
  <si>
    <t>[국제감축실적 가격] 4차 분배일자</t>
  </si>
  <si>
    <t>[국제감축실적 가격] 5차 분배일자</t>
  </si>
  <si>
    <t>[국제감축실적 가격] 6차 분배일자</t>
  </si>
  <si>
    <t>[국제감축실적 가격] 7차 분배일자</t>
  </si>
  <si>
    <t>[국제감축실적 가격] 8차 분배일자</t>
  </si>
  <si>
    <t>[국제감축실적 가격] 9차 분배일자</t>
  </si>
  <si>
    <t>[국제감축실적 가격] 10차 분배일자</t>
  </si>
  <si>
    <r>
      <rPr>
        <b/>
        <sz val="48"/>
        <color theme="0" tint="-0.249977111117893"/>
        <rFont val="맑은 고딕"/>
        <family val="3"/>
        <charset val="129"/>
        <scheme val="minor"/>
      </rPr>
      <t>지원기업 예측 분배계획서</t>
    </r>
    <r>
      <rPr>
        <vertAlign val="superscript"/>
        <sz val="48"/>
        <color theme="0" tint="-0.249977111117893"/>
        <rFont val="맑은 고딕"/>
        <family val="3"/>
        <charset val="129"/>
        <scheme val="minor"/>
      </rPr>
      <t>[양식1]</t>
    </r>
    <phoneticPr fontId="2" type="noConversion"/>
  </si>
  <si>
    <t>국내(예상) 총 분배량 (tCO2-eq)</t>
    <phoneticPr fontId="2" type="noConversion"/>
  </si>
  <si>
    <t>연도별 국내 (실제) 분배량 (tCO2-eq)</t>
    <phoneticPr fontId="2" type="noConversion"/>
  </si>
  <si>
    <r>
      <rPr>
        <b/>
        <sz val="28"/>
        <color theme="1"/>
        <rFont val="맑은 고딕"/>
        <family val="3"/>
        <charset val="129"/>
        <scheme val="minor"/>
      </rPr>
      <t>&lt; 안내사항 &gt;</t>
    </r>
    <r>
      <rPr>
        <sz val="28"/>
        <color theme="1"/>
        <rFont val="맑은 고딕"/>
        <family val="3"/>
        <charset val="129"/>
        <scheme val="minor"/>
      </rPr>
      <t xml:space="preserve">
1. 해당 양식은 온실가스 국제감축 투자지원사업 공고 신청기관의 국제감축실적 분배계획서 작성을 위한 보조자료입니다.
2. 해당 자료는 국제감축실적 분배계획서 작성을 위한 참고 및 보조 양식이며, 정확한 분배량 산정은 신청기관에서 관련규정(운영지침)을 확인하여 작성하시기 바랍니다.
3. 양식 내 노란색 칸에 해당하는 수치만을 입력해주십시오.</t>
    </r>
    <phoneticPr fontId="2" type="noConversion"/>
  </si>
  <si>
    <r>
      <t>사업 신청 시 분배계획서_고정가격 기준</t>
    </r>
    <r>
      <rPr>
        <vertAlign val="superscript"/>
        <sz val="48"/>
        <color theme="0" tint="-0.249977111117893"/>
        <rFont val="맑은 고딕"/>
        <family val="3"/>
        <charset val="129"/>
        <scheme val="minor"/>
      </rPr>
      <t>[양식2]</t>
    </r>
    <phoneticPr fontId="2" type="noConversion"/>
  </si>
  <si>
    <t>[양식2]</t>
    <phoneticPr fontId="2" type="noConversion"/>
  </si>
  <si>
    <t>적용 양식</t>
    <phoneticPr fontId="2" type="noConversion"/>
  </si>
  <si>
    <t>[양식1]</t>
    <phoneticPr fontId="2" type="noConversion"/>
  </si>
  <si>
    <t>분배회차 및 연도</t>
    <phoneticPr fontId="2" type="noConversion"/>
  </si>
  <si>
    <t>[대표금리] 2회차</t>
    <phoneticPr fontId="2" type="noConversion"/>
  </si>
  <si>
    <t>[대표금리] 3회차</t>
  </si>
  <si>
    <t>[대표금리] 4회차</t>
  </si>
  <si>
    <t>[대표금리] 5회차</t>
  </si>
  <si>
    <t>[대표금리] 6회차</t>
  </si>
  <si>
    <t>[대표금리] 7회차</t>
  </si>
  <si>
    <t>[대표금리] 8회차</t>
  </si>
  <si>
    <t>[대표금리] 9회차</t>
  </si>
  <si>
    <t>[대표금리] 10회차</t>
  </si>
  <si>
    <t>[대표금리] 1회차 (YYYY-MM-DD, %)</t>
    <phoneticPr fontId="2" type="noConversion"/>
  </si>
  <si>
    <t>경과일수 (일)</t>
    <phoneticPr fontId="2" type="noConversion"/>
  </si>
  <si>
    <t>[대표금리] 2회차 (YYYY-MM-DD, %)</t>
  </si>
  <si>
    <t>[대표금리] 3회차 (YYYY-MM-DD, %)</t>
  </si>
  <si>
    <t>[대표금리] 4회차 (YYYY-MM-DD, %)</t>
  </si>
  <si>
    <t>[대표금리] 5회차 (YYYY-MM-DD, %)</t>
  </si>
  <si>
    <t>[대표금리] 6회차 (YYYY-MM-DD, %)</t>
  </si>
  <si>
    <t>[대표금리] 7회차 (YYYY-MM-DD, %)</t>
  </si>
  <si>
    <t>[대표금리] 8회차 (YYYY-MM-DD, %)</t>
  </si>
  <si>
    <t>[대표금리] 9회차 (YYYY-MM-DD, %)</t>
  </si>
  <si>
    <t>[대표금리] 10회차 (YYYY-MM-DD, %)</t>
  </si>
  <si>
    <t>1회차</t>
  </si>
  <si>
    <t>2회차</t>
  </si>
  <si>
    <t>3회차</t>
  </si>
  <si>
    <t>4회차</t>
  </si>
  <si>
    <t>5회차</t>
  </si>
  <si>
    <t>6회차</t>
  </si>
  <si>
    <t>7회차</t>
  </si>
  <si>
    <t>8회차</t>
  </si>
  <si>
    <t>9회차</t>
  </si>
  <si>
    <t>10회차</t>
  </si>
  <si>
    <t>[국제감축실적 가격] 1회차 (원)</t>
  </si>
  <si>
    <t>[국제감축실적 가격] 2회차</t>
  </si>
  <si>
    <t>[국제감축실적 가격] 3회차</t>
  </si>
  <si>
    <t>[국제감축실적 가격] 4회차</t>
  </si>
  <si>
    <t>[국제감축실적 가격] 5회차</t>
  </si>
  <si>
    <t>[국제감축실적 가격] 6회차</t>
  </si>
  <si>
    <t>[국제감축실적 가격] 7회차</t>
  </si>
  <si>
    <t>[국제감축실적 가격] 8회차</t>
  </si>
  <si>
    <t>[국제감축실적 가격] 9회차</t>
  </si>
  <si>
    <t>[국제감축실적 가격] 10회차</t>
  </si>
  <si>
    <t>[1회차 국내 (실제) 분배량] 1회차</t>
  </si>
  <si>
    <t>[1회차 국내 (실제) 분배량] 2회차</t>
  </si>
  <si>
    <t>[1회차 국내 (실제) 분배량] 3회차</t>
  </si>
  <si>
    <t>[1회차 국내 (실제) 분배량] 4회차</t>
  </si>
  <si>
    <t>[1회차 국내 (실제) 분배량] 5회차</t>
  </si>
  <si>
    <t>[1회차 국내 (실제) 분배량] 6회차</t>
  </si>
  <si>
    <t>[1회차 국내 (실제) 분배량] 7회차</t>
  </si>
  <si>
    <t>[1회차 국내 (실제) 분배량] 8회차</t>
  </si>
  <si>
    <t>[1회차 국내 (실제) 분배량] 9회차</t>
  </si>
  <si>
    <t>[1회차 국내 (실제) 분배량] 10회차</t>
  </si>
  <si>
    <r>
      <rPr>
        <b/>
        <sz val="14"/>
        <color theme="1"/>
        <rFont val="맑은 고딕"/>
        <family val="3"/>
        <charset val="129"/>
        <scheme val="minor"/>
      </rPr>
      <t>* 대표금리</t>
    </r>
    <r>
      <rPr>
        <sz val="14"/>
        <color theme="1"/>
        <rFont val="맑은 고딕"/>
        <family val="3"/>
        <charset val="129"/>
        <scheme val="minor"/>
      </rPr>
      <t xml:space="preserve">
ㅇ [YYYY-MM-DD] : </t>
    </r>
    <r>
      <rPr>
        <b/>
        <sz val="14"/>
        <color rgb="FF0000FF"/>
        <rFont val="맑은 고딕"/>
        <family val="3"/>
        <charset val="129"/>
        <scheme val="minor"/>
      </rPr>
      <t>(예상) 국제감축실적 발급시점</t>
    </r>
    <r>
      <rPr>
        <sz val="14"/>
        <color theme="1"/>
        <rFont val="맑은 고딕"/>
        <family val="3"/>
        <charset val="129"/>
        <scheme val="minor"/>
      </rPr>
      <t xml:space="preserve">을 형식에 맞게 연월일로 입력
ㅇ [%] : </t>
    </r>
    <r>
      <rPr>
        <b/>
        <sz val="14"/>
        <color rgb="FF0000FF"/>
        <rFont val="맑은 고딕"/>
        <family val="3"/>
        <charset val="129"/>
        <scheme val="minor"/>
      </rPr>
      <t>(예상)</t>
    </r>
    <r>
      <rPr>
        <sz val="14"/>
        <color theme="1"/>
        <rFont val="맑은 고딕"/>
        <family val="3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국제감축실적 발급일자</t>
    </r>
    <r>
      <rPr>
        <sz val="14"/>
        <color theme="1"/>
        <rFont val="맑은 고딕"/>
        <family val="3"/>
        <charset val="129"/>
        <scheme val="minor"/>
      </rPr>
      <t xml:space="preserve"> </t>
    </r>
    <r>
      <rPr>
        <b/>
        <sz val="14"/>
        <color rgb="FF0000FF"/>
        <rFont val="맑은 고딕"/>
        <family val="3"/>
        <charset val="129"/>
        <scheme val="minor"/>
      </rPr>
      <t>전일</t>
    </r>
    <r>
      <rPr>
        <sz val="14"/>
        <color theme="1"/>
        <rFont val="맑은 고딕"/>
        <family val="3"/>
        <charset val="129"/>
        <scheme val="minor"/>
      </rPr>
      <t>부터 
직전 1년간 국고채 3년 유통물 (예상) 평균 수익률(</t>
    </r>
    <r>
      <rPr>
        <b/>
        <u/>
        <sz val="14"/>
        <color theme="1"/>
        <rFont val="맑은 고딕"/>
        <family val="3"/>
        <charset val="129"/>
        <scheme val="minor"/>
      </rPr>
      <t>예상 대표금리</t>
    </r>
    <r>
      <rPr>
        <sz val="14"/>
        <color theme="1"/>
        <rFont val="맑은 고딕"/>
        <family val="3"/>
        <charset val="129"/>
        <scheme val="minor"/>
      </rPr>
      <t>)</t>
    </r>
    <phoneticPr fontId="2" type="noConversion"/>
  </si>
  <si>
    <t>[고시가격] 직전 1년 평균 ('24)</t>
    <phoneticPr fontId="2" type="noConversion"/>
  </si>
  <si>
    <t>[고시가격] 직전 3년 평균 ('22~'24)</t>
    <phoneticPr fontId="2" type="noConversion"/>
  </si>
  <si>
    <t>투자지원금 (원)</t>
    <phoneticPr fontId="2" type="noConversion"/>
  </si>
  <si>
    <t>투자지원금 최대한도 (원)</t>
    <phoneticPr fontId="2" type="noConversion"/>
  </si>
  <si>
    <t>수탁기관
분배량</t>
  </si>
  <si>
    <t>수탁기관
분배량</t>
    <phoneticPr fontId="2" type="noConversion"/>
  </si>
  <si>
    <t xml:space="preserve"> 연도별 수탁기관 분배량</t>
  </si>
  <si>
    <t>* 수탁기관 총 분배량이 확정되지 않는 변동가격형은 협약시점의 고시가격으로 산정한 후, 감축실적 발행 시 해당시점 가격으로 재산정 필요
따라서 변동가격형을 선택한 수행기관은 자체적으로 연차별 감축실적 가격 및 대표금리를 예측한 분배계획서([양식1])와
타사업과 비교를 위해 고정가격 [일반]에 준하여 작성한 분배계획서([양식2])도 함께 제출 必</t>
  </si>
  <si>
    <t>연도별 수탁기관 (예상) 분배량</t>
  </si>
  <si>
    <t>누적기간 수탁기관 (예상) 분배량</t>
  </si>
  <si>
    <t>연도별 수탁기관 (실제) 분배량</t>
  </si>
  <si>
    <t>누적기간 수탁기관 (실제) 분배량</t>
  </si>
  <si>
    <t>연도별 투자지원 상환금 할증금액
- 대표금리 0% 적용</t>
  </si>
  <si>
    <t>연도별 투자지원금</t>
  </si>
  <si>
    <t>연도별 투자지원 상환금</t>
  </si>
  <si>
    <t>총 투자지원금 지급완료 시점1)</t>
  </si>
  <si>
    <t>연도별 투자지원 상환금
(원금)</t>
  </si>
  <si>
    <t>연도별 투자지원 상환금 할증금액
- 수행기관 예측 대표금리 적용</t>
  </si>
  <si>
    <t>수탁기관 (예상) 분배량</t>
    <phoneticPr fontId="2" type="noConversion"/>
  </si>
  <si>
    <t>수탁기관 (실제) 분배량</t>
    <phoneticPr fontId="2" type="noConversion"/>
  </si>
  <si>
    <t>수탁기관 (예상)분배량
(B)</t>
    <phoneticPr fontId="2" type="noConversion"/>
  </si>
  <si>
    <t>투자지원금 상환액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</si>
</sst>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_ "/>
    <numFmt numFmtId="177" formatCode="#,##0.00_ "/>
    <numFmt numFmtId="178" formatCode="000\-000"/>
    <numFmt numFmtId="179" formatCode="0.000%"/>
    <numFmt numFmtId="180" formatCode="#,##0.000_ "/>
    <numFmt numFmtId="181" formatCode="#,##0.00000_ "/>
    <numFmt numFmtId="182" formatCode="#,##0.000_);[Red]\(#,##0.000\)"/>
    <numFmt numFmtId="183" formatCode="#,##0_);[Red]\(#,##0\)"/>
    <numFmt numFmtId="184" formatCode="#,##0.00_);[Red]\(#,##0.00\)"/>
    <numFmt numFmtId="185" formatCode="#,##0.0_);[Red]\(#,##0.0\)"/>
    <numFmt numFmtId="186" formatCode="#,##0.0_ "/>
    <numFmt numFmtId="187" formatCode="0.0%"/>
  </numFmts>
  <fonts count="2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vertAlign val="subscript"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rgb="FF000000"/>
      <name val="HY헤드라인M"/>
      <family val="1"/>
      <charset val="129"/>
    </font>
    <font>
      <b/>
      <sz val="12"/>
      <color theme="1"/>
      <name val="HY헤드라인M"/>
      <family val="1"/>
      <charset val="129"/>
    </font>
    <font>
      <b/>
      <sz val="14"/>
      <color theme="1"/>
      <name val="HY헤드라인M"/>
      <family val="1"/>
      <charset val="129"/>
    </font>
    <font>
      <b/>
      <sz val="12"/>
      <color rgb="FF000000"/>
      <name val="HY헤드라인M"/>
      <family val="1"/>
      <charset val="129"/>
    </font>
    <font>
      <b/>
      <sz val="14"/>
      <color rgb="FF000000"/>
      <name val="맑은 고딕"/>
      <family val="3"/>
      <charset val="129"/>
      <scheme val="minor"/>
    </font>
    <font>
      <sz val="10"/>
      <color rgb="FF000000"/>
      <name val="Tahoma"/>
      <family val="2"/>
    </font>
    <font>
      <b/>
      <sz val="14"/>
      <color rgb="FF0000FF"/>
      <name val="맑은 고딕"/>
      <family val="3"/>
      <charset val="129"/>
      <scheme val="minor"/>
    </font>
    <font>
      <b/>
      <sz val="48"/>
      <color theme="0" tint="-0.249977111117893"/>
      <name val="맑은 고딕"/>
      <family val="3"/>
      <charset val="129"/>
      <scheme val="minor"/>
    </font>
    <font>
      <sz val="48"/>
      <color theme="0" tint="-0.249977111117893"/>
      <name val="맑은 고딕"/>
      <family val="3"/>
      <charset val="129"/>
      <scheme val="minor"/>
    </font>
    <font>
      <vertAlign val="superscript"/>
      <sz val="48"/>
      <color theme="0" tint="-0.249977111117893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2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/>
  </cellStyleXfs>
  <cellXfs count="449">
    <xf numFmtId="0" fontId="0" fillId="0" borderId="0" xfId="0"/>
    <xf numFmtId="0" fontId="0" fillId="0" borderId="2" xfId="0" applyBorder="1"/>
    <xf numFmtId="181" fontId="7" fillId="0" borderId="2" xfId="0" applyNumberFormat="1" applyFont="1" applyBorder="1" applyAlignment="1">
      <alignment horizontal="right"/>
    </xf>
    <xf numFmtId="181" fontId="8" fillId="0" borderId="2" xfId="0" applyNumberFormat="1" applyFont="1" applyBorder="1" applyAlignment="1">
      <alignment horizontal="right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vertical="center" wrapText="1"/>
    </xf>
    <xf numFmtId="180" fontId="8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 vertical="center" wrapText="1"/>
    </xf>
    <xf numFmtId="181" fontId="6" fillId="0" borderId="2" xfId="0" applyNumberFormat="1" applyFont="1" applyBorder="1"/>
    <xf numFmtId="180" fontId="0" fillId="0" borderId="2" xfId="0" applyNumberFormat="1" applyBorder="1"/>
    <xf numFmtId="182" fontId="8" fillId="0" borderId="2" xfId="0" applyNumberFormat="1" applyFont="1" applyBorder="1" applyAlignment="1">
      <alignment horizontal="right"/>
    </xf>
    <xf numFmtId="182" fontId="0" fillId="0" borderId="2" xfId="0" applyNumberFormat="1" applyBorder="1"/>
    <xf numFmtId="0" fontId="7" fillId="11" borderId="18" xfId="0" applyFont="1" applyFill="1" applyBorder="1" applyAlignment="1">
      <alignment vertical="center"/>
    </xf>
    <xf numFmtId="0" fontId="7" fillId="11" borderId="21" xfId="0" applyFont="1" applyFill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176" fontId="7" fillId="0" borderId="26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176" fontId="7" fillId="0" borderId="22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vertical="center"/>
    </xf>
    <xf numFmtId="0" fontId="6" fillId="0" borderId="26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176" fontId="6" fillId="0" borderId="23" xfId="0" applyNumberFormat="1" applyFont="1" applyBorder="1" applyAlignment="1">
      <alignment horizontal="center" vertical="center"/>
    </xf>
    <xf numFmtId="176" fontId="7" fillId="0" borderId="27" xfId="0" applyNumberFormat="1" applyFont="1" applyBorder="1" applyAlignment="1">
      <alignment horizontal="center" vertical="center"/>
    </xf>
    <xf numFmtId="176" fontId="9" fillId="0" borderId="26" xfId="0" applyNumberFormat="1" applyFont="1" applyBorder="1" applyAlignment="1">
      <alignment vertical="center" wrapText="1"/>
    </xf>
    <xf numFmtId="177" fontId="6" fillId="0" borderId="26" xfId="0" applyNumberFormat="1" applyFont="1" applyBorder="1" applyAlignment="1">
      <alignment vertical="center"/>
    </xf>
    <xf numFmtId="177" fontId="6" fillId="0" borderId="22" xfId="0" applyNumberFormat="1" applyFont="1" applyBorder="1" applyAlignment="1">
      <alignment vertical="center"/>
    </xf>
    <xf numFmtId="178" fontId="10" fillId="0" borderId="14" xfId="0" applyNumberFormat="1" applyFont="1" applyFill="1" applyBorder="1" applyAlignment="1">
      <alignment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176" fontId="7" fillId="0" borderId="25" xfId="0" applyNumberFormat="1" applyFont="1" applyFill="1" applyBorder="1" applyAlignment="1">
      <alignment horizontal="center" vertical="center"/>
    </xf>
    <xf numFmtId="176" fontId="7" fillId="0" borderId="15" xfId="0" applyNumberFormat="1" applyFont="1" applyFill="1" applyBorder="1" applyAlignment="1">
      <alignment horizontal="center" vertical="center"/>
    </xf>
    <xf numFmtId="176" fontId="7" fillId="0" borderId="26" xfId="0" applyNumberFormat="1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77" fontId="8" fillId="0" borderId="25" xfId="0" applyNumberFormat="1" applyFont="1" applyFill="1" applyBorder="1" applyAlignment="1">
      <alignment horizontal="center" vertical="center"/>
    </xf>
    <xf numFmtId="177" fontId="8" fillId="0" borderId="15" xfId="0" applyNumberFormat="1" applyFont="1" applyFill="1" applyBorder="1" applyAlignment="1">
      <alignment horizontal="center" vertical="center"/>
    </xf>
    <xf numFmtId="177" fontId="8" fillId="0" borderId="26" xfId="0" applyNumberFormat="1" applyFont="1" applyFill="1" applyBorder="1" applyAlignment="1">
      <alignment horizontal="center" vertical="center"/>
    </xf>
    <xf numFmtId="177" fontId="7" fillId="0" borderId="20" xfId="0" applyNumberFormat="1" applyFont="1" applyFill="1" applyBorder="1" applyAlignment="1">
      <alignment horizontal="center" vertical="center"/>
    </xf>
    <xf numFmtId="177" fontId="7" fillId="0" borderId="21" xfId="0" applyNumberFormat="1" applyFont="1" applyFill="1" applyBorder="1" applyAlignment="1">
      <alignment horizontal="center" vertical="center"/>
    </xf>
    <xf numFmtId="177" fontId="7" fillId="0" borderId="22" xfId="0" applyNumberFormat="1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177" fontId="8" fillId="0" borderId="15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7" fillId="0" borderId="20" xfId="0" applyNumberFormat="1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33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76" fontId="8" fillId="0" borderId="27" xfId="0" applyNumberFormat="1" applyFont="1" applyBorder="1" applyAlignment="1">
      <alignment horizontal="center" vertical="center"/>
    </xf>
    <xf numFmtId="176" fontId="8" fillId="0" borderId="15" xfId="0" applyNumberFormat="1" applyFont="1" applyBorder="1" applyAlignment="1">
      <alignment horizontal="center" vertical="center"/>
    </xf>
    <xf numFmtId="176" fontId="8" fillId="0" borderId="26" xfId="0" applyNumberFormat="1" applyFont="1" applyBorder="1" applyAlignment="1">
      <alignment horizontal="center" vertical="center"/>
    </xf>
    <xf numFmtId="10" fontId="7" fillId="0" borderId="27" xfId="0" applyNumberFormat="1" applyFont="1" applyBorder="1" applyAlignment="1">
      <alignment horizontal="center" vertical="center"/>
    </xf>
    <xf numFmtId="10" fontId="7" fillId="0" borderId="15" xfId="0" applyNumberFormat="1" applyFont="1" applyBorder="1" applyAlignment="1">
      <alignment horizontal="center" vertical="center"/>
    </xf>
    <xf numFmtId="10" fontId="7" fillId="0" borderId="26" xfId="0" applyNumberFormat="1" applyFont="1" applyBorder="1" applyAlignment="1">
      <alignment horizontal="center" vertical="center"/>
    </xf>
    <xf numFmtId="177" fontId="7" fillId="0" borderId="27" xfId="0" applyNumberFormat="1" applyFont="1" applyBorder="1" applyAlignment="1">
      <alignment horizontal="center" vertical="center"/>
    </xf>
    <xf numFmtId="177" fontId="7" fillId="0" borderId="15" xfId="0" applyNumberFormat="1" applyFont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9" fontId="6" fillId="0" borderId="26" xfId="0" applyNumberFormat="1" applyFont="1" applyBorder="1" applyAlignment="1">
      <alignment horizontal="center" vertical="center"/>
    </xf>
    <xf numFmtId="179" fontId="7" fillId="0" borderId="25" xfId="0" applyNumberFormat="1" applyFont="1" applyBorder="1" applyAlignment="1">
      <alignment horizontal="center" vertical="center"/>
    </xf>
    <xf numFmtId="179" fontId="7" fillId="0" borderId="15" xfId="0" applyNumberFormat="1" applyFont="1" applyBorder="1" applyAlignment="1">
      <alignment horizontal="center" vertical="center"/>
    </xf>
    <xf numFmtId="179" fontId="7" fillId="0" borderId="28" xfId="0" applyNumberFormat="1" applyFont="1" applyBorder="1" applyAlignment="1">
      <alignment horizontal="center" vertical="center"/>
    </xf>
    <xf numFmtId="186" fontId="7" fillId="3" borderId="2" xfId="0" applyNumberFormat="1" applyFont="1" applyFill="1" applyBorder="1" applyAlignment="1" applyProtection="1">
      <alignment horizontal="right"/>
      <protection locked="0"/>
    </xf>
    <xf numFmtId="186" fontId="6" fillId="0" borderId="2" xfId="0" applyNumberFormat="1" applyFont="1" applyFill="1" applyBorder="1" applyAlignment="1" applyProtection="1">
      <alignment horizontal="right"/>
    </xf>
    <xf numFmtId="186" fontId="8" fillId="3" borderId="2" xfId="0" applyNumberFormat="1" applyFont="1" applyFill="1" applyBorder="1" applyAlignment="1" applyProtection="1">
      <alignment horizontal="right"/>
      <protection locked="0"/>
    </xf>
    <xf numFmtId="185" fontId="6" fillId="0" borderId="2" xfId="0" applyNumberFormat="1" applyFont="1" applyFill="1" applyBorder="1" applyProtection="1"/>
    <xf numFmtId="186" fontId="8" fillId="0" borderId="2" xfId="0" applyNumberFormat="1" applyFont="1" applyBorder="1" applyAlignment="1">
      <alignment horizontal="right"/>
    </xf>
    <xf numFmtId="186" fontId="7" fillId="0" borderId="2" xfId="0" applyNumberFormat="1" applyFont="1" applyBorder="1" applyAlignment="1">
      <alignment horizontal="right"/>
    </xf>
    <xf numFmtId="186" fontId="6" fillId="0" borderId="2" xfId="0" applyNumberFormat="1" applyFont="1" applyBorder="1"/>
    <xf numFmtId="185" fontId="8" fillId="0" borderId="2" xfId="0" applyNumberFormat="1" applyFont="1" applyBorder="1" applyAlignment="1">
      <alignment horizontal="right"/>
    </xf>
    <xf numFmtId="185" fontId="6" fillId="0" borderId="2" xfId="0" applyNumberFormat="1" applyFont="1" applyBorder="1"/>
    <xf numFmtId="185" fontId="7" fillId="0" borderId="2" xfId="0" applyNumberFormat="1" applyFont="1" applyBorder="1" applyAlignment="1">
      <alignment horizontal="right"/>
    </xf>
    <xf numFmtId="0" fontId="6" fillId="0" borderId="26" xfId="0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176" fontId="7" fillId="0" borderId="28" xfId="0" applyNumberFormat="1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176" fontId="7" fillId="0" borderId="25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176" fontId="6" fillId="0" borderId="2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78" fontId="10" fillId="5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78" fontId="10" fillId="11" borderId="13" xfId="0" applyNumberFormat="1" applyFont="1" applyFill="1" applyBorder="1" applyAlignment="1">
      <alignment vertical="center"/>
    </xf>
    <xf numFmtId="0" fontId="0" fillId="10" borderId="0" xfId="0" applyFill="1"/>
    <xf numFmtId="0" fontId="7" fillId="10" borderId="1" xfId="0" applyFont="1" applyFill="1" applyBorder="1" applyAlignment="1">
      <alignment vertical="center"/>
    </xf>
    <xf numFmtId="0" fontId="7" fillId="10" borderId="0" xfId="0" applyFont="1" applyFill="1" applyBorder="1" applyAlignment="1">
      <alignment vertical="center"/>
    </xf>
    <xf numFmtId="0" fontId="7" fillId="10" borderId="0" xfId="0" applyFont="1" applyFill="1" applyBorder="1" applyAlignment="1">
      <alignment horizontal="center" vertical="center"/>
    </xf>
    <xf numFmtId="0" fontId="13" fillId="10" borderId="0" xfId="0" applyFont="1" applyFill="1" applyBorder="1" applyAlignment="1">
      <alignment vertical="center" wrapText="1"/>
    </xf>
    <xf numFmtId="0" fontId="7" fillId="10" borderId="41" xfId="0" applyFont="1" applyFill="1" applyBorder="1" applyAlignment="1">
      <alignment vertical="center"/>
    </xf>
    <xf numFmtId="0" fontId="7" fillId="10" borderId="40" xfId="0" applyFont="1" applyFill="1" applyBorder="1" applyAlignment="1">
      <alignment vertical="center"/>
    </xf>
    <xf numFmtId="176" fontId="9" fillId="10" borderId="0" xfId="0" applyNumberFormat="1" applyFont="1" applyFill="1" applyBorder="1" applyAlignment="1">
      <alignment vertical="center" wrapText="1"/>
    </xf>
    <xf numFmtId="0" fontId="3" fillId="10" borderId="0" xfId="0" applyFont="1" applyFill="1" applyBorder="1" applyAlignment="1">
      <alignment vertical="center" wrapText="1"/>
    </xf>
    <xf numFmtId="186" fontId="21" fillId="3" borderId="2" xfId="5" applyNumberFormat="1" applyFill="1" applyBorder="1" applyAlignment="1" applyProtection="1">
      <alignment horizontal="right"/>
      <protection locked="0"/>
    </xf>
    <xf numFmtId="0" fontId="7" fillId="0" borderId="52" xfId="0" applyFont="1" applyBorder="1" applyAlignment="1">
      <alignment horizontal="center" vertical="center"/>
    </xf>
    <xf numFmtId="0" fontId="7" fillId="0" borderId="52" xfId="0" applyFont="1" applyBorder="1" applyAlignment="1">
      <alignment vertical="center"/>
    </xf>
    <xf numFmtId="176" fontId="7" fillId="0" borderId="72" xfId="0" applyNumberFormat="1" applyFont="1" applyFill="1" applyBorder="1" applyAlignment="1" applyProtection="1">
      <alignment horizontal="center" vertical="center"/>
      <protection locked="0"/>
    </xf>
    <xf numFmtId="176" fontId="7" fillId="0" borderId="73" xfId="0" applyNumberFormat="1" applyFont="1" applyFill="1" applyBorder="1" applyAlignment="1" applyProtection="1">
      <alignment horizontal="center" vertical="center"/>
      <protection locked="0"/>
    </xf>
    <xf numFmtId="176" fontId="7" fillId="0" borderId="71" xfId="0" applyNumberFormat="1" applyFont="1" applyFill="1" applyBorder="1" applyAlignment="1" applyProtection="1">
      <alignment horizontal="center" vertical="center"/>
      <protection locked="0"/>
    </xf>
    <xf numFmtId="180" fontId="7" fillId="0" borderId="71" xfId="0" applyNumberFormat="1" applyFont="1" applyFill="1" applyBorder="1" applyAlignment="1" applyProtection="1">
      <alignment horizontal="center" vertical="center"/>
      <protection locked="0"/>
    </xf>
    <xf numFmtId="180" fontId="7" fillId="0" borderId="74" xfId="0" applyNumberFormat="1" applyFont="1" applyFill="1" applyBorder="1" applyAlignment="1" applyProtection="1">
      <alignment horizontal="center" vertical="center"/>
      <protection locked="0"/>
    </xf>
    <xf numFmtId="0" fontId="7" fillId="0" borderId="54" xfId="0" applyFont="1" applyBorder="1" applyAlignment="1">
      <alignment vertical="center"/>
    </xf>
    <xf numFmtId="0" fontId="7" fillId="0" borderId="75" xfId="0" applyFont="1" applyBorder="1" applyAlignment="1">
      <alignment vertical="center"/>
    </xf>
    <xf numFmtId="0" fontId="8" fillId="0" borderId="52" xfId="0" quotePrefix="1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/>
    </xf>
    <xf numFmtId="0" fontId="8" fillId="0" borderId="32" xfId="0" quotePrefix="1" applyFont="1" applyBorder="1" applyAlignment="1">
      <alignment horizontal="center" vertical="center"/>
    </xf>
    <xf numFmtId="0" fontId="8" fillId="0" borderId="18" xfId="0" quotePrefix="1" applyFont="1" applyBorder="1" applyAlignment="1">
      <alignment horizontal="center" vertical="center"/>
    </xf>
    <xf numFmtId="0" fontId="8" fillId="0" borderId="63" xfId="0" quotePrefix="1" applyFont="1" applyBorder="1" applyAlignment="1">
      <alignment horizontal="center" vertical="center"/>
    </xf>
    <xf numFmtId="14" fontId="0" fillId="0" borderId="0" xfId="0" applyNumberFormat="1"/>
    <xf numFmtId="180" fontId="7" fillId="3" borderId="86" xfId="0" applyNumberFormat="1" applyFont="1" applyFill="1" applyBorder="1" applyAlignment="1" applyProtection="1">
      <alignment horizontal="center" vertical="center"/>
      <protection locked="0"/>
    </xf>
    <xf numFmtId="180" fontId="7" fillId="3" borderId="88" xfId="0" applyNumberFormat="1" applyFont="1" applyFill="1" applyBorder="1" applyAlignment="1" applyProtection="1">
      <alignment horizontal="center" vertical="center"/>
      <protection locked="0"/>
    </xf>
    <xf numFmtId="176" fontId="7" fillId="3" borderId="91" xfId="0" applyNumberFormat="1" applyFont="1" applyFill="1" applyBorder="1" applyAlignment="1" applyProtection="1">
      <alignment horizontal="center" vertical="center"/>
      <protection locked="0"/>
    </xf>
    <xf numFmtId="0" fontId="7" fillId="0" borderId="36" xfId="0" applyFont="1" applyBorder="1" applyAlignment="1">
      <alignment vertical="center"/>
    </xf>
    <xf numFmtId="0" fontId="7" fillId="0" borderId="36" xfId="0" applyFont="1" applyBorder="1" applyAlignment="1">
      <alignment horizontal="right" vertical="center"/>
    </xf>
    <xf numFmtId="0" fontId="7" fillId="0" borderId="75" xfId="0" applyFont="1" applyBorder="1" applyAlignment="1">
      <alignment horizontal="center" vertical="center"/>
    </xf>
    <xf numFmtId="0" fontId="7" fillId="0" borderId="94" xfId="0" applyFont="1" applyBorder="1" applyAlignment="1">
      <alignment horizontal="center" vertical="center"/>
    </xf>
    <xf numFmtId="14" fontId="7" fillId="3" borderId="81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3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/>
    </xf>
    <xf numFmtId="187" fontId="8" fillId="0" borderId="2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3" fillId="9" borderId="2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/>
    </xf>
    <xf numFmtId="177" fontId="8" fillId="0" borderId="57" xfId="0" applyNumberFormat="1" applyFont="1" applyFill="1" applyBorder="1" applyAlignment="1">
      <alignment horizontal="center" vertical="center" wrapText="1"/>
    </xf>
    <xf numFmtId="177" fontId="8" fillId="0" borderId="24" xfId="0" applyNumberFormat="1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5" fillId="0" borderId="4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41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7" fillId="7" borderId="0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 wrapText="1"/>
    </xf>
    <xf numFmtId="176" fontId="9" fillId="0" borderId="55" xfId="0" applyNumberFormat="1" applyFont="1" applyBorder="1" applyAlignment="1">
      <alignment horizontal="center" vertical="center" wrapText="1"/>
    </xf>
    <xf numFmtId="178" fontId="10" fillId="5" borderId="1" xfId="0" applyNumberFormat="1" applyFont="1" applyFill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6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right" vertical="center" wrapText="1"/>
    </xf>
    <xf numFmtId="0" fontId="8" fillId="0" borderId="56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69" xfId="0" applyFont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51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51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177" fontId="8" fillId="0" borderId="34" xfId="0" applyNumberFormat="1" applyFont="1" applyFill="1" applyBorder="1" applyAlignment="1">
      <alignment horizontal="center" vertical="center" wrapText="1"/>
    </xf>
    <xf numFmtId="177" fontId="8" fillId="0" borderId="16" xfId="0" applyNumberFormat="1" applyFont="1" applyFill="1" applyBorder="1" applyAlignment="1">
      <alignment horizontal="center" vertical="center" wrapText="1"/>
    </xf>
    <xf numFmtId="176" fontId="9" fillId="0" borderId="12" xfId="0" applyNumberFormat="1" applyFont="1" applyBorder="1" applyAlignment="1">
      <alignment horizontal="center" vertical="center" wrapText="1"/>
    </xf>
    <xf numFmtId="176" fontId="9" fillId="0" borderId="35" xfId="0" applyNumberFormat="1" applyFont="1" applyBorder="1" applyAlignment="1">
      <alignment horizontal="center" vertical="center" wrapText="1"/>
    </xf>
    <xf numFmtId="176" fontId="9" fillId="0" borderId="36" xfId="0" applyNumberFormat="1" applyFont="1" applyBorder="1" applyAlignment="1">
      <alignment horizontal="center" vertical="center" wrapText="1"/>
    </xf>
    <xf numFmtId="176" fontId="9" fillId="0" borderId="31" xfId="0" applyNumberFormat="1" applyFont="1" applyBorder="1" applyAlignment="1">
      <alignment horizontal="center" vertical="center" wrapText="1"/>
    </xf>
    <xf numFmtId="176" fontId="19" fillId="0" borderId="37" xfId="0" applyNumberFormat="1" applyFont="1" applyBorder="1" applyAlignment="1">
      <alignment horizontal="center" vertical="center" wrapText="1"/>
    </xf>
    <xf numFmtId="176" fontId="19" fillId="0" borderId="38" xfId="0" applyNumberFormat="1" applyFont="1" applyBorder="1" applyAlignment="1">
      <alignment horizontal="center" vertical="center" wrapText="1"/>
    </xf>
    <xf numFmtId="176" fontId="19" fillId="0" borderId="39" xfId="0" applyNumberFormat="1" applyFont="1" applyBorder="1" applyAlignment="1">
      <alignment horizontal="center" vertical="center" wrapText="1"/>
    </xf>
    <xf numFmtId="176" fontId="19" fillId="0" borderId="40" xfId="0" applyNumberFormat="1" applyFont="1" applyBorder="1" applyAlignment="1">
      <alignment horizontal="center" vertical="center" wrapText="1"/>
    </xf>
    <xf numFmtId="176" fontId="19" fillId="0" borderId="0" xfId="0" applyNumberFormat="1" applyFont="1" applyBorder="1" applyAlignment="1">
      <alignment horizontal="center" vertical="center" wrapText="1"/>
    </xf>
    <xf numFmtId="176" fontId="19" fillId="0" borderId="41" xfId="0" applyNumberFormat="1" applyFont="1" applyBorder="1" applyAlignment="1">
      <alignment horizontal="center" vertical="center" wrapText="1"/>
    </xf>
    <xf numFmtId="176" fontId="19" fillId="0" borderId="10" xfId="0" applyNumberFormat="1" applyFont="1" applyBorder="1" applyAlignment="1">
      <alignment horizontal="center" vertical="center" wrapText="1"/>
    </xf>
    <xf numFmtId="176" fontId="19" fillId="0" borderId="6" xfId="0" applyNumberFormat="1" applyFont="1" applyBorder="1" applyAlignment="1">
      <alignment horizontal="center" vertical="center" wrapText="1"/>
    </xf>
    <xf numFmtId="176" fontId="19" fillId="0" borderId="11" xfId="0" applyNumberFormat="1" applyFont="1" applyBorder="1" applyAlignment="1">
      <alignment horizontal="center" vertical="center" wrapText="1"/>
    </xf>
    <xf numFmtId="177" fontId="8" fillId="0" borderId="34" xfId="0" applyNumberFormat="1" applyFont="1" applyBorder="1" applyAlignment="1">
      <alignment horizontal="center" vertical="center" wrapText="1"/>
    </xf>
    <xf numFmtId="177" fontId="8" fillId="0" borderId="16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176" fontId="9" fillId="0" borderId="52" xfId="0" applyNumberFormat="1" applyFont="1" applyBorder="1" applyAlignment="1">
      <alignment horizontal="center" vertical="center" wrapText="1"/>
    </xf>
    <xf numFmtId="176" fontId="9" fillId="0" borderId="53" xfId="0" applyNumberFormat="1" applyFont="1" applyBorder="1" applyAlignment="1">
      <alignment horizontal="center" vertical="center" wrapText="1"/>
    </xf>
    <xf numFmtId="176" fontId="9" fillId="0" borderId="44" xfId="0" applyNumberFormat="1" applyFont="1" applyBorder="1" applyAlignment="1">
      <alignment horizontal="center" vertical="center" wrapText="1"/>
    </xf>
    <xf numFmtId="176" fontId="9" fillId="0" borderId="45" xfId="0" applyNumberFormat="1" applyFont="1" applyBorder="1" applyAlignment="1">
      <alignment horizontal="center" vertical="center" wrapText="1"/>
    </xf>
    <xf numFmtId="176" fontId="9" fillId="0" borderId="23" xfId="0" applyNumberFormat="1" applyFont="1" applyBorder="1" applyAlignment="1">
      <alignment horizontal="center" vertical="center" wrapText="1"/>
    </xf>
    <xf numFmtId="176" fontId="6" fillId="0" borderId="44" xfId="0" applyNumberFormat="1" applyFont="1" applyBorder="1" applyAlignment="1">
      <alignment horizontal="center" vertical="center"/>
    </xf>
    <xf numFmtId="176" fontId="6" fillId="0" borderId="45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176" fontId="6" fillId="0" borderId="37" xfId="0" applyNumberFormat="1" applyFont="1" applyBorder="1" applyAlignment="1">
      <alignment horizontal="center" vertical="center"/>
    </xf>
    <xf numFmtId="176" fontId="6" fillId="0" borderId="39" xfId="0" applyNumberFormat="1" applyFont="1" applyBorder="1" applyAlignment="1">
      <alignment horizontal="center" vertical="center"/>
    </xf>
    <xf numFmtId="176" fontId="6" fillId="0" borderId="40" xfId="0" applyNumberFormat="1" applyFont="1" applyBorder="1" applyAlignment="1">
      <alignment horizontal="center" vertical="center"/>
    </xf>
    <xf numFmtId="176" fontId="6" fillId="0" borderId="41" xfId="0" applyNumberFormat="1" applyFont="1" applyBorder="1" applyAlignment="1">
      <alignment horizontal="center" vertical="center"/>
    </xf>
    <xf numFmtId="176" fontId="6" fillId="0" borderId="36" xfId="0" applyNumberFormat="1" applyFont="1" applyBorder="1" applyAlignment="1">
      <alignment horizontal="center" vertical="center"/>
    </xf>
    <xf numFmtId="176" fontId="6" fillId="0" borderId="48" xfId="0" applyNumberFormat="1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 wrapText="1"/>
    </xf>
    <xf numFmtId="176" fontId="9" fillId="0" borderId="39" xfId="0" applyNumberFormat="1" applyFont="1" applyBorder="1" applyAlignment="1">
      <alignment horizontal="center" vertical="center" wrapText="1"/>
    </xf>
    <xf numFmtId="176" fontId="9" fillId="0" borderId="48" xfId="0" applyNumberFormat="1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4" borderId="51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51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82" xfId="0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9" fillId="11" borderId="58" xfId="0" applyFont="1" applyFill="1" applyBorder="1" applyAlignment="1">
      <alignment horizontal="center" vertical="center" wrapText="1"/>
    </xf>
    <xf numFmtId="0" fontId="9" fillId="11" borderId="50" xfId="0" applyFont="1" applyFill="1" applyBorder="1" applyAlignment="1">
      <alignment horizontal="center" vertical="center" wrapText="1"/>
    </xf>
    <xf numFmtId="176" fontId="9" fillId="0" borderId="50" xfId="0" applyNumberFormat="1" applyFont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51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176" fontId="7" fillId="0" borderId="44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176" fontId="7" fillId="0" borderId="42" xfId="0" applyNumberFormat="1" applyFont="1" applyBorder="1" applyAlignment="1">
      <alignment horizontal="center" vertical="center"/>
    </xf>
    <xf numFmtId="176" fontId="7" fillId="0" borderId="16" xfId="0" applyNumberFormat="1" applyFont="1" applyBorder="1" applyAlignment="1">
      <alignment horizontal="center" vertical="center"/>
    </xf>
    <xf numFmtId="176" fontId="7" fillId="0" borderId="66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46" xfId="0" applyNumberFormat="1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177" fontId="7" fillId="0" borderId="7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 applyBorder="1" applyAlignment="1">
      <alignment horizontal="center" vertical="center"/>
    </xf>
    <xf numFmtId="177" fontId="7" fillId="0" borderId="6" xfId="0" applyNumberFormat="1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 wrapText="1"/>
    </xf>
    <xf numFmtId="0" fontId="11" fillId="8" borderId="51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176" fontId="26" fillId="0" borderId="37" xfId="0" applyNumberFormat="1" applyFont="1" applyBorder="1" applyAlignment="1">
      <alignment horizontal="center" vertical="center" wrapText="1"/>
    </xf>
    <xf numFmtId="176" fontId="26" fillId="0" borderId="39" xfId="0" applyNumberFormat="1" applyFont="1" applyBorder="1" applyAlignment="1">
      <alignment horizontal="center" vertical="center" wrapText="1"/>
    </xf>
    <xf numFmtId="176" fontId="26" fillId="0" borderId="36" xfId="0" applyNumberFormat="1" applyFont="1" applyBorder="1" applyAlignment="1">
      <alignment horizontal="center" vertical="center" wrapText="1"/>
    </xf>
    <xf numFmtId="176" fontId="26" fillId="0" borderId="48" xfId="0" applyNumberFormat="1" applyFont="1" applyBorder="1" applyAlignment="1">
      <alignment horizontal="center" vertical="center" wrapText="1"/>
    </xf>
    <xf numFmtId="176" fontId="27" fillId="0" borderId="44" xfId="0" applyNumberFormat="1" applyFont="1" applyBorder="1" applyAlignment="1">
      <alignment horizontal="center" vertical="center"/>
    </xf>
    <xf numFmtId="176" fontId="27" fillId="0" borderId="23" xfId="0" applyNumberFormat="1" applyFont="1" applyBorder="1" applyAlignment="1">
      <alignment horizontal="center" vertical="center"/>
    </xf>
    <xf numFmtId="176" fontId="27" fillId="0" borderId="37" xfId="0" applyNumberFormat="1" applyFont="1" applyBorder="1" applyAlignment="1">
      <alignment horizontal="center" vertical="center"/>
    </xf>
    <xf numFmtId="176" fontId="27" fillId="0" borderId="36" xfId="0" applyNumberFormat="1" applyFont="1" applyBorder="1" applyAlignment="1">
      <alignment horizontal="center" vertical="center"/>
    </xf>
    <xf numFmtId="176" fontId="7" fillId="0" borderId="65" xfId="0" applyNumberFormat="1" applyFont="1" applyBorder="1" applyAlignment="1">
      <alignment horizontal="center" vertical="center"/>
    </xf>
    <xf numFmtId="176" fontId="7" fillId="0" borderId="83" xfId="0" applyNumberFormat="1" applyFont="1" applyBorder="1" applyAlignment="1">
      <alignment horizontal="center" vertical="center"/>
    </xf>
    <xf numFmtId="183" fontId="8" fillId="0" borderId="44" xfId="0" applyNumberFormat="1" applyFont="1" applyBorder="1" applyAlignment="1">
      <alignment horizontal="center" vertical="center"/>
    </xf>
    <xf numFmtId="183" fontId="8" fillId="0" borderId="23" xfId="0" applyNumberFormat="1" applyFont="1" applyBorder="1" applyAlignment="1">
      <alignment horizontal="center" vertical="center"/>
    </xf>
    <xf numFmtId="183" fontId="8" fillId="0" borderId="42" xfId="0" applyNumberFormat="1" applyFont="1" applyBorder="1" applyAlignment="1">
      <alignment horizontal="center" vertical="center"/>
    </xf>
    <xf numFmtId="183" fontId="8" fillId="0" borderId="16" xfId="0" applyNumberFormat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76" fontId="6" fillId="0" borderId="50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183" fontId="8" fillId="0" borderId="66" xfId="0" applyNumberFormat="1" applyFont="1" applyBorder="1" applyAlignment="1">
      <alignment horizontal="center" vertical="center"/>
    </xf>
    <xf numFmtId="183" fontId="8" fillId="0" borderId="31" xfId="0" applyNumberFormat="1" applyFont="1" applyBorder="1" applyAlignment="1">
      <alignment horizontal="center" vertical="center"/>
    </xf>
    <xf numFmtId="183" fontId="8" fillId="0" borderId="46" xfId="0" applyNumberFormat="1" applyFont="1" applyBorder="1" applyAlignment="1">
      <alignment horizontal="center" vertical="center"/>
    </xf>
    <xf numFmtId="183" fontId="8" fillId="0" borderId="24" xfId="0" applyNumberFormat="1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84" fontId="8" fillId="0" borderId="44" xfId="0" applyNumberFormat="1" applyFont="1" applyBorder="1" applyAlignment="1">
      <alignment horizontal="center" vertical="center"/>
    </xf>
    <xf numFmtId="184" fontId="8" fillId="0" borderId="23" xfId="0" applyNumberFormat="1" applyFont="1" applyBorder="1" applyAlignment="1">
      <alignment horizontal="center" vertical="center"/>
    </xf>
    <xf numFmtId="184" fontId="8" fillId="0" borderId="50" xfId="0" applyNumberFormat="1" applyFont="1" applyBorder="1" applyAlignment="1">
      <alignment horizontal="center" vertical="center"/>
    </xf>
    <xf numFmtId="184" fontId="8" fillId="0" borderId="42" xfId="0" applyNumberFormat="1" applyFont="1" applyBorder="1" applyAlignment="1">
      <alignment horizontal="center" vertical="center"/>
    </xf>
    <xf numFmtId="184" fontId="8" fillId="0" borderId="16" xfId="0" applyNumberFormat="1" applyFont="1" applyBorder="1" applyAlignment="1">
      <alignment horizontal="center" vertical="center"/>
    </xf>
    <xf numFmtId="184" fontId="8" fillId="0" borderId="43" xfId="0" applyNumberFormat="1" applyFont="1" applyBorder="1" applyAlignment="1">
      <alignment horizontal="center" vertical="center"/>
    </xf>
    <xf numFmtId="176" fontId="8" fillId="0" borderId="46" xfId="0" applyNumberFormat="1" applyFont="1" applyBorder="1" applyAlignment="1">
      <alignment horizontal="center" vertical="center" wrapText="1"/>
    </xf>
    <xf numFmtId="176" fontId="8" fillId="0" borderId="47" xfId="0" applyNumberFormat="1" applyFont="1" applyBorder="1" applyAlignment="1">
      <alignment horizontal="center" vertical="center" wrapText="1"/>
    </xf>
    <xf numFmtId="176" fontId="8" fillId="0" borderId="49" xfId="0" applyNumberFormat="1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83" fontId="6" fillId="0" borderId="44" xfId="0" applyNumberFormat="1" applyFont="1" applyBorder="1" applyAlignment="1">
      <alignment horizontal="center" vertical="center"/>
    </xf>
    <xf numFmtId="183" fontId="6" fillId="0" borderId="45" xfId="0" applyNumberFormat="1" applyFont="1" applyBorder="1" applyAlignment="1">
      <alignment horizontal="center" vertical="center"/>
    </xf>
    <xf numFmtId="183" fontId="6" fillId="0" borderId="23" xfId="0" applyNumberFormat="1" applyFont="1" applyBorder="1" applyAlignment="1">
      <alignment horizontal="center" vertical="center"/>
    </xf>
    <xf numFmtId="184" fontId="8" fillId="0" borderId="42" xfId="0" applyNumberFormat="1" applyFont="1" applyFill="1" applyBorder="1" applyAlignment="1">
      <alignment horizontal="center" vertical="center"/>
    </xf>
    <xf numFmtId="184" fontId="8" fillId="0" borderId="16" xfId="0" applyNumberFormat="1" applyFont="1" applyFill="1" applyBorder="1" applyAlignment="1">
      <alignment horizontal="center" vertical="center"/>
    </xf>
    <xf numFmtId="184" fontId="8" fillId="0" borderId="46" xfId="0" applyNumberFormat="1" applyFont="1" applyFill="1" applyBorder="1" applyAlignment="1">
      <alignment horizontal="center" vertical="center"/>
    </xf>
    <xf numFmtId="184" fontId="8" fillId="0" borderId="24" xfId="0" applyNumberFormat="1" applyFont="1" applyFill="1" applyBorder="1" applyAlignment="1">
      <alignment horizontal="center" vertical="center"/>
    </xf>
    <xf numFmtId="184" fontId="8" fillId="0" borderId="43" xfId="0" applyNumberFormat="1" applyFont="1" applyFill="1" applyBorder="1" applyAlignment="1">
      <alignment horizontal="center" vertical="center"/>
    </xf>
    <xf numFmtId="184" fontId="8" fillId="0" borderId="49" xfId="0" applyNumberFormat="1" applyFont="1" applyFill="1" applyBorder="1" applyAlignment="1">
      <alignment horizontal="center" vertical="center"/>
    </xf>
    <xf numFmtId="177" fontId="7" fillId="0" borderId="3" xfId="0" applyNumberFormat="1" applyFont="1" applyBorder="1" applyAlignment="1">
      <alignment horizontal="right" vertical="center"/>
    </xf>
    <xf numFmtId="177" fontId="7" fillId="0" borderId="56" xfId="0" applyNumberFormat="1" applyFont="1" applyBorder="1" applyAlignment="1">
      <alignment horizontal="right" vertical="center"/>
    </xf>
    <xf numFmtId="177" fontId="7" fillId="0" borderId="4" xfId="0" applyNumberFormat="1" applyFont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 wrapText="1"/>
    </xf>
    <xf numFmtId="0" fontId="13" fillId="9" borderId="51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1" fillId="9" borderId="51" xfId="0" applyFont="1" applyFill="1" applyBorder="1" applyAlignment="1">
      <alignment horizontal="center" vertical="center" wrapText="1"/>
    </xf>
    <xf numFmtId="0" fontId="11" fillId="9" borderId="8" xfId="0" applyFont="1" applyFill="1" applyBorder="1" applyAlignment="1">
      <alignment horizontal="center" vertical="center" wrapText="1"/>
    </xf>
    <xf numFmtId="176" fontId="6" fillId="0" borderId="44" xfId="0" applyNumberFormat="1" applyFont="1" applyBorder="1" applyAlignment="1">
      <alignment horizontal="center" vertical="center" wrapText="1"/>
    </xf>
    <xf numFmtId="176" fontId="6" fillId="0" borderId="45" xfId="0" applyNumberFormat="1" applyFont="1" applyBorder="1" applyAlignment="1">
      <alignment horizontal="center" vertical="center" wrapText="1"/>
    </xf>
    <xf numFmtId="176" fontId="6" fillId="0" borderId="50" xfId="0" applyNumberFormat="1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176" fontId="7" fillId="3" borderId="87" xfId="0" applyNumberFormat="1" applyFont="1" applyFill="1" applyBorder="1" applyAlignment="1" applyProtection="1">
      <alignment horizontal="center" vertical="center"/>
      <protection locked="0"/>
    </xf>
    <xf numFmtId="176" fontId="7" fillId="3" borderId="96" xfId="0" applyNumberFormat="1" applyFont="1" applyFill="1" applyBorder="1" applyAlignment="1" applyProtection="1">
      <alignment horizontal="center" vertical="center"/>
      <protection locked="0"/>
    </xf>
    <xf numFmtId="176" fontId="7" fillId="3" borderId="80" xfId="0" applyNumberFormat="1" applyFont="1" applyFill="1" applyBorder="1" applyAlignment="1" applyProtection="1">
      <alignment horizontal="center" vertical="center"/>
      <protection locked="0"/>
    </xf>
    <xf numFmtId="176" fontId="18" fillId="0" borderId="37" xfId="0" applyNumberFormat="1" applyFont="1" applyBorder="1" applyAlignment="1">
      <alignment horizontal="center" vertical="center" wrapText="1"/>
    </xf>
    <xf numFmtId="176" fontId="18" fillId="0" borderId="38" xfId="0" applyNumberFormat="1" applyFont="1" applyBorder="1" applyAlignment="1">
      <alignment horizontal="center" vertical="center" wrapText="1"/>
    </xf>
    <xf numFmtId="176" fontId="18" fillId="0" borderId="39" xfId="0" applyNumberFormat="1" applyFont="1" applyBorder="1" applyAlignment="1">
      <alignment horizontal="center" vertical="center" wrapText="1"/>
    </xf>
    <xf numFmtId="176" fontId="18" fillId="0" borderId="40" xfId="0" applyNumberFormat="1" applyFont="1" applyBorder="1" applyAlignment="1">
      <alignment horizontal="center" vertical="center" wrapText="1"/>
    </xf>
    <xf numFmtId="176" fontId="18" fillId="0" borderId="0" xfId="0" applyNumberFormat="1" applyFont="1" applyBorder="1" applyAlignment="1">
      <alignment horizontal="center" vertical="center" wrapText="1"/>
    </xf>
    <xf numFmtId="176" fontId="18" fillId="0" borderId="41" xfId="0" applyNumberFormat="1" applyFont="1" applyBorder="1" applyAlignment="1">
      <alignment horizontal="center" vertical="center" wrapText="1"/>
    </xf>
    <xf numFmtId="176" fontId="18" fillId="0" borderId="10" xfId="0" applyNumberFormat="1" applyFont="1" applyBorder="1" applyAlignment="1">
      <alignment horizontal="center" vertical="center" wrapText="1"/>
    </xf>
    <xf numFmtId="176" fontId="18" fillId="0" borderId="6" xfId="0" applyNumberFormat="1" applyFont="1" applyBorder="1" applyAlignment="1">
      <alignment horizontal="center" vertical="center" wrapText="1"/>
    </xf>
    <xf numFmtId="176" fontId="18" fillId="0" borderId="11" xfId="0" applyNumberFormat="1" applyFont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76" fontId="7" fillId="0" borderId="7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5" fillId="10" borderId="12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0" fontId="15" fillId="10" borderId="9" xfId="0" applyFont="1" applyFill="1" applyBorder="1" applyAlignment="1">
      <alignment horizontal="center" vertical="center" wrapText="1"/>
    </xf>
    <xf numFmtId="0" fontId="15" fillId="10" borderId="40" xfId="0" applyFont="1" applyFill="1" applyBorder="1" applyAlignment="1">
      <alignment horizontal="center" vertical="center" wrapText="1"/>
    </xf>
    <xf numFmtId="0" fontId="15" fillId="10" borderId="0" xfId="0" applyFont="1" applyFill="1" applyBorder="1" applyAlignment="1">
      <alignment horizontal="center" vertical="center" wrapText="1"/>
    </xf>
    <xf numFmtId="0" fontId="15" fillId="10" borderId="41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176" fontId="7" fillId="3" borderId="81" xfId="0" applyNumberFormat="1" applyFont="1" applyFill="1" applyBorder="1" applyAlignment="1" applyProtection="1">
      <alignment horizontal="center" vertical="center"/>
      <protection locked="0"/>
    </xf>
    <xf numFmtId="176" fontId="7" fillId="3" borderId="69" xfId="0" applyNumberFormat="1" applyFont="1" applyFill="1" applyBorder="1" applyAlignment="1" applyProtection="1">
      <alignment horizontal="center" vertical="center"/>
      <protection locked="0"/>
    </xf>
    <xf numFmtId="176" fontId="7" fillId="3" borderId="78" xfId="0" applyNumberFormat="1" applyFont="1" applyFill="1" applyBorder="1" applyAlignment="1" applyProtection="1">
      <alignment horizontal="center" vertical="center"/>
      <protection locked="0"/>
    </xf>
    <xf numFmtId="0" fontId="13" fillId="0" borderId="6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24" fillId="0" borderId="7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24" fillId="0" borderId="41" xfId="0" applyFont="1" applyFill="1" applyBorder="1" applyAlignment="1">
      <alignment horizontal="center" vertical="center" wrapText="1"/>
    </xf>
    <xf numFmtId="0" fontId="24" fillId="0" borderId="40" xfId="0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7" fillId="0" borderId="92" xfId="0" applyFont="1" applyBorder="1" applyAlignment="1">
      <alignment horizontal="center" vertical="center"/>
    </xf>
    <xf numFmtId="0" fontId="7" fillId="0" borderId="93" xfId="0" applyFont="1" applyBorder="1" applyAlignment="1">
      <alignment horizontal="center" vertical="center"/>
    </xf>
    <xf numFmtId="176" fontId="7" fillId="3" borderId="76" xfId="0" applyNumberFormat="1" applyFont="1" applyFill="1" applyBorder="1" applyAlignment="1" applyProtection="1">
      <alignment horizontal="center" vertical="center"/>
      <protection locked="0"/>
    </xf>
    <xf numFmtId="176" fontId="7" fillId="3" borderId="95" xfId="0" applyNumberFormat="1" applyFont="1" applyFill="1" applyBorder="1" applyAlignment="1" applyProtection="1">
      <alignment horizontal="center" vertical="center"/>
      <protection locked="0"/>
    </xf>
    <xf numFmtId="176" fontId="7" fillId="3" borderId="77" xfId="0" applyNumberFormat="1" applyFont="1" applyFill="1" applyBorder="1" applyAlignment="1" applyProtection="1">
      <alignment horizontal="center" vertical="center"/>
      <protection locked="0"/>
    </xf>
    <xf numFmtId="176" fontId="7" fillId="0" borderId="64" xfId="0" applyNumberFormat="1" applyFont="1" applyBorder="1" applyAlignment="1">
      <alignment horizontal="center" vertical="center"/>
    </xf>
    <xf numFmtId="176" fontId="7" fillId="0" borderId="0" xfId="0" applyNumberFormat="1" applyFont="1" applyBorder="1" applyAlignment="1">
      <alignment horizontal="center" vertical="center"/>
    </xf>
    <xf numFmtId="176" fontId="7" fillId="0" borderId="41" xfId="0" applyNumberFormat="1" applyFont="1" applyBorder="1" applyAlignment="1">
      <alignment horizontal="center" vertical="center"/>
    </xf>
    <xf numFmtId="176" fontId="7" fillId="3" borderId="89" xfId="0" applyNumberFormat="1" applyFont="1" applyFill="1" applyBorder="1" applyAlignment="1" applyProtection="1">
      <alignment horizontal="center" vertical="center"/>
      <protection locked="0"/>
    </xf>
    <xf numFmtId="176" fontId="7" fillId="3" borderId="90" xfId="0" applyNumberFormat="1" applyFont="1" applyFill="1" applyBorder="1" applyAlignment="1" applyProtection="1">
      <alignment horizontal="center" vertical="center"/>
      <protection locked="0"/>
    </xf>
    <xf numFmtId="176" fontId="7" fillId="3" borderId="84" xfId="0" applyNumberFormat="1" applyFont="1" applyFill="1" applyBorder="1" applyAlignment="1" applyProtection="1">
      <alignment horizontal="center" vertical="center"/>
      <protection locked="0"/>
    </xf>
    <xf numFmtId="176" fontId="7" fillId="3" borderId="97" xfId="0" applyNumberFormat="1" applyFont="1" applyFill="1" applyBorder="1" applyAlignment="1" applyProtection="1">
      <alignment horizontal="center" vertical="center"/>
      <protection locked="0"/>
    </xf>
    <xf numFmtId="176" fontId="7" fillId="3" borderId="85" xfId="0" applyNumberFormat="1" applyFont="1" applyFill="1" applyBorder="1" applyAlignment="1" applyProtection="1">
      <alignment horizontal="center" vertical="center"/>
      <protection locked="0"/>
    </xf>
    <xf numFmtId="176" fontId="8" fillId="0" borderId="64" xfId="0" applyNumberFormat="1" applyFont="1" applyBorder="1" applyAlignment="1">
      <alignment horizontal="center" vertical="center"/>
    </xf>
    <xf numFmtId="176" fontId="8" fillId="0" borderId="0" xfId="0" applyNumberFormat="1" applyFont="1" applyBorder="1" applyAlignment="1">
      <alignment horizontal="center" vertical="center"/>
    </xf>
    <xf numFmtId="176" fontId="8" fillId="0" borderId="41" xfId="0" applyNumberFormat="1" applyFont="1" applyBorder="1" applyAlignment="1">
      <alignment horizontal="center" vertical="center"/>
    </xf>
    <xf numFmtId="176" fontId="8" fillId="3" borderId="84" xfId="0" applyNumberFormat="1" applyFont="1" applyFill="1" applyBorder="1" applyAlignment="1" applyProtection="1">
      <alignment horizontal="center" vertical="center"/>
      <protection locked="0"/>
    </xf>
    <xf numFmtId="176" fontId="8" fillId="3" borderId="97" xfId="0" applyNumberFormat="1" applyFont="1" applyFill="1" applyBorder="1" applyAlignment="1" applyProtection="1">
      <alignment horizontal="center" vertical="center"/>
      <protection locked="0"/>
    </xf>
    <xf numFmtId="176" fontId="8" fillId="3" borderId="85" xfId="0" applyNumberFormat="1" applyFont="1" applyFill="1" applyBorder="1" applyAlignment="1" applyProtection="1">
      <alignment horizontal="center" vertical="center"/>
      <protection locked="0"/>
    </xf>
    <xf numFmtId="176" fontId="8" fillId="3" borderId="98" xfId="0" applyNumberFormat="1" applyFont="1" applyFill="1" applyBorder="1" applyAlignment="1" applyProtection="1">
      <alignment horizontal="center" vertical="center"/>
      <protection locked="0"/>
    </xf>
    <xf numFmtId="176" fontId="8" fillId="3" borderId="60" xfId="0" applyNumberFormat="1" applyFont="1" applyFill="1" applyBorder="1" applyAlignment="1" applyProtection="1">
      <alignment horizontal="center" vertical="center"/>
      <protection locked="0"/>
    </xf>
    <xf numFmtId="176" fontId="8" fillId="3" borderId="99" xfId="0" applyNumberFormat="1" applyFont="1" applyFill="1" applyBorder="1" applyAlignment="1" applyProtection="1">
      <alignment horizontal="center" vertical="center"/>
      <protection locked="0"/>
    </xf>
    <xf numFmtId="176" fontId="8" fillId="3" borderId="92" xfId="0" applyNumberFormat="1" applyFont="1" applyFill="1" applyBorder="1" applyAlignment="1" applyProtection="1">
      <alignment horizontal="center" vertical="center"/>
      <protection locked="0"/>
    </xf>
    <xf numFmtId="176" fontId="8" fillId="3" borderId="1" xfId="0" applyNumberFormat="1" applyFont="1" applyFill="1" applyBorder="1" applyAlignment="1" applyProtection="1">
      <alignment horizontal="center" vertical="center"/>
      <protection locked="0"/>
    </xf>
    <xf numFmtId="176" fontId="8" fillId="3" borderId="93" xfId="0" applyNumberFormat="1" applyFont="1" applyFill="1" applyBorder="1" applyAlignment="1" applyProtection="1">
      <alignment horizontal="center" vertical="center"/>
      <protection locked="0"/>
    </xf>
    <xf numFmtId="0" fontId="9" fillId="2" borderId="6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64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14" fontId="7" fillId="3" borderId="84" xfId="0" applyNumberFormat="1" applyFont="1" applyFill="1" applyBorder="1" applyAlignment="1" applyProtection="1">
      <alignment horizontal="center" vertical="center"/>
      <protection locked="0"/>
    </xf>
    <xf numFmtId="14" fontId="7" fillId="3" borderId="97" xfId="0" applyNumberFormat="1" applyFont="1" applyFill="1" applyBorder="1" applyAlignment="1" applyProtection="1">
      <alignment horizontal="center" vertical="center"/>
      <protection locked="0"/>
    </xf>
    <xf numFmtId="14" fontId="7" fillId="3" borderId="85" xfId="0" applyNumberFormat="1" applyFont="1" applyFill="1" applyBorder="1" applyAlignment="1" applyProtection="1">
      <alignment horizontal="center" vertical="center"/>
      <protection locked="0"/>
    </xf>
    <xf numFmtId="176" fontId="7" fillId="0" borderId="82" xfId="0" applyNumberFormat="1" applyFont="1" applyBorder="1" applyAlignment="1">
      <alignment horizontal="center" vertical="center"/>
    </xf>
    <xf numFmtId="176" fontId="7" fillId="0" borderId="48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0" xfId="0" applyNumberFormat="1" applyFont="1" applyBorder="1" applyAlignment="1">
      <alignment horizontal="center" vertical="center"/>
    </xf>
    <xf numFmtId="176" fontId="7" fillId="0" borderId="68" xfId="0" applyNumberFormat="1" applyFont="1" applyBorder="1" applyAlignment="1">
      <alignment horizontal="center" vertical="center"/>
    </xf>
    <xf numFmtId="176" fontId="7" fillId="3" borderId="98" xfId="0" applyNumberFormat="1" applyFont="1" applyFill="1" applyBorder="1" applyAlignment="1" applyProtection="1">
      <alignment horizontal="center" vertical="center"/>
      <protection locked="0"/>
    </xf>
    <xf numFmtId="176" fontId="7" fillId="3" borderId="60" xfId="0" applyNumberFormat="1" applyFont="1" applyFill="1" applyBorder="1" applyAlignment="1" applyProtection="1">
      <alignment horizontal="center" vertical="center"/>
      <protection locked="0"/>
    </xf>
    <xf numFmtId="176" fontId="7" fillId="3" borderId="99" xfId="0" applyNumberFormat="1" applyFont="1" applyFill="1" applyBorder="1" applyAlignment="1" applyProtection="1">
      <alignment horizontal="center" vertical="center"/>
      <protection locked="0"/>
    </xf>
    <xf numFmtId="176" fontId="7" fillId="3" borderId="100" xfId="0" applyNumberFormat="1" applyFont="1" applyFill="1" applyBorder="1" applyAlignment="1" applyProtection="1">
      <alignment horizontal="center" vertical="center"/>
      <protection locked="0"/>
    </xf>
    <xf numFmtId="176" fontId="7" fillId="3" borderId="0" xfId="0" applyNumberFormat="1" applyFont="1" applyFill="1" applyBorder="1" applyAlignment="1" applyProtection="1">
      <alignment horizontal="center" vertical="center"/>
      <protection locked="0"/>
    </xf>
    <xf numFmtId="176" fontId="7" fillId="3" borderId="79" xfId="0" applyNumberFormat="1" applyFont="1" applyFill="1" applyBorder="1" applyAlignment="1" applyProtection="1">
      <alignment horizontal="center" vertical="center"/>
      <protection locked="0"/>
    </xf>
    <xf numFmtId="176" fontId="7" fillId="3" borderId="92" xfId="0" applyNumberFormat="1" applyFont="1" applyFill="1" applyBorder="1" applyAlignment="1" applyProtection="1">
      <alignment horizontal="center" vertical="center"/>
      <protection locked="0"/>
    </xf>
    <xf numFmtId="176" fontId="7" fillId="3" borderId="1" xfId="0" applyNumberFormat="1" applyFont="1" applyFill="1" applyBorder="1" applyAlignment="1" applyProtection="1">
      <alignment horizontal="center" vertical="center"/>
      <protection locked="0"/>
    </xf>
    <xf numFmtId="176" fontId="7" fillId="3" borderId="93" xfId="0" applyNumberFormat="1" applyFont="1" applyFill="1" applyBorder="1" applyAlignment="1" applyProtection="1">
      <alignment horizontal="center" vertical="center"/>
      <protection locked="0"/>
    </xf>
    <xf numFmtId="176" fontId="7" fillId="11" borderId="32" xfId="0" applyNumberFormat="1" applyFont="1" applyFill="1" applyBorder="1" applyAlignment="1">
      <alignment horizontal="center" vertical="center"/>
    </xf>
    <xf numFmtId="176" fontId="7" fillId="11" borderId="63" xfId="0" applyNumberFormat="1" applyFont="1" applyFill="1" applyBorder="1" applyAlignment="1">
      <alignment horizontal="center" vertical="center"/>
    </xf>
    <xf numFmtId="176" fontId="7" fillId="11" borderId="53" xfId="0" applyNumberFormat="1" applyFont="1" applyFill="1" applyBorder="1" applyAlignment="1">
      <alignment horizontal="center" vertical="center"/>
    </xf>
    <xf numFmtId="176" fontId="7" fillId="11" borderId="33" xfId="0" applyNumberFormat="1" applyFont="1" applyFill="1" applyBorder="1" applyAlignment="1">
      <alignment horizontal="center" vertical="center"/>
    </xf>
    <xf numFmtId="176" fontId="7" fillId="11" borderId="70" xfId="0" applyNumberFormat="1" applyFont="1" applyFill="1" applyBorder="1" applyAlignment="1">
      <alignment horizontal="center" vertical="center"/>
    </xf>
    <xf numFmtId="176" fontId="7" fillId="11" borderId="68" xfId="0" applyNumberFormat="1" applyFont="1" applyFill="1" applyBorder="1" applyAlignment="1">
      <alignment horizontal="center" vertical="center"/>
    </xf>
    <xf numFmtId="0" fontId="7" fillId="3" borderId="84" xfId="0" applyFont="1" applyFill="1" applyBorder="1" applyAlignment="1" applyProtection="1">
      <alignment horizontal="center" vertical="center"/>
      <protection locked="0"/>
    </xf>
    <xf numFmtId="0" fontId="7" fillId="3" borderId="97" xfId="0" applyFont="1" applyFill="1" applyBorder="1" applyAlignment="1" applyProtection="1">
      <alignment horizontal="center" vertical="center"/>
      <protection locked="0"/>
    </xf>
    <xf numFmtId="0" fontId="7" fillId="3" borderId="85" xfId="0" applyFont="1" applyFill="1" applyBorder="1" applyAlignment="1" applyProtection="1">
      <alignment horizontal="center" vertical="center"/>
      <protection locked="0"/>
    </xf>
  </cellXfs>
  <cellStyles count="6">
    <cellStyle name="쉼표 [0] 2" xfId="2" xr:uid="{00000000-0005-0000-0000-000000000000}"/>
    <cellStyle name="쉼표 [0] 3" xfId="4" xr:uid="{00000000-0005-0000-0000-000001000000}"/>
    <cellStyle name="표준" xfId="0" builtinId="0"/>
    <cellStyle name="표준 2" xfId="1" xr:uid="{00000000-0005-0000-0000-000003000000}"/>
    <cellStyle name="표준 3" xfId="3" xr:uid="{00000000-0005-0000-0000-000004000000}"/>
    <cellStyle name="하이퍼링크" xfId="5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1267884</xdr:colOff>
      <xdr:row>5</xdr:row>
      <xdr:rowOff>6319</xdr:rowOff>
    </xdr:from>
    <xdr:to>
      <xdr:col>20</xdr:col>
      <xdr:colOff>169745</xdr:colOff>
      <xdr:row>20</xdr:row>
      <xdr:rowOff>208525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A5052B6-1A30-462E-8AF0-E6FB56F303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99" t="18562" r="23745" b="59531"/>
        <a:stretch/>
      </xdr:blipFill>
      <xdr:spPr>
        <a:xfrm>
          <a:off x="8935509" y="1387444"/>
          <a:ext cx="11980527" cy="37500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showGridLines="0" tabSelected="1" zoomScale="70" zoomScaleNormal="70" zoomScaleSheetLayoutView="70" zoomScalePageLayoutView="55" workbookViewId="0">
      <selection activeCell="W12" sqref="W12"/>
    </sheetView>
  </sheetViews>
  <sheetFormatPr defaultRowHeight="16.5"/>
  <cols>
    <col min="1" max="3" width="9" style="98"/>
    <col min="4" max="4" width="20.625" style="98" customWidth="1"/>
    <col min="5" max="5" width="23.625" style="98" customWidth="1"/>
    <col min="6" max="6" width="20.625" style="98" customWidth="1"/>
    <col min="7" max="7" width="15.625" style="98" customWidth="1"/>
    <col min="8" max="8" width="10.625" style="98" customWidth="1"/>
    <col min="9" max="9" width="20.625" style="98" customWidth="1"/>
    <col min="10" max="10" width="10.625" style="98" customWidth="1"/>
    <col min="11" max="16384" width="9" style="98"/>
  </cols>
  <sheetData>
    <row r="1" spans="1:18" ht="16.5" customHeight="1">
      <c r="A1" s="131" t="s">
        <v>95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</row>
    <row r="2" spans="1:18">
      <c r="A2" s="131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</row>
    <row r="3" spans="1:18" ht="16.5" customHeight="1">
      <c r="A3" s="131"/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</row>
    <row r="4" spans="1:18" ht="16.5" customHeight="1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</row>
    <row r="5" spans="1:18" ht="16.5" customHeight="1">
      <c r="A5" s="131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</row>
    <row r="6" spans="1:18" ht="16.5" customHeight="1">
      <c r="A6" s="131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</row>
    <row r="7" spans="1:18" ht="16.5" customHeight="1">
      <c r="A7" s="131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</row>
    <row r="8" spans="1:18" ht="16.5" customHeight="1">
      <c r="A8" s="131"/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</row>
    <row r="9" spans="1:18" ht="16.5" customHeight="1">
      <c r="A9" s="131"/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</row>
    <row r="10" spans="1:18" ht="16.5" customHeight="1">
      <c r="A10" s="131"/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</row>
    <row r="11" spans="1:18" ht="16.5" customHeight="1">
      <c r="A11" s="131"/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</row>
    <row r="12" spans="1:18" ht="16.5" customHeight="1">
      <c r="A12" s="131"/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</row>
    <row r="13" spans="1:18" ht="16.5" customHeight="1">
      <c r="A13" s="131"/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</row>
    <row r="14" spans="1:18" ht="16.5" customHeight="1">
      <c r="A14" s="131"/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</row>
    <row r="15" spans="1:18" ht="16.5" customHeight="1">
      <c r="A15" s="131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</row>
    <row r="16" spans="1:18" ht="16.5" customHeight="1">
      <c r="A16" s="131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</row>
    <row r="17" spans="1:18" ht="16.5" customHeight="1">
      <c r="A17" s="131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</row>
    <row r="18" spans="1:18">
      <c r="A18" s="131"/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</row>
    <row r="19" spans="1:18">
      <c r="A19" s="131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1"/>
    </row>
    <row r="20" spans="1:18">
      <c r="A20" s="131"/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</row>
    <row r="21" spans="1:18">
      <c r="A21" s="131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</row>
    <row r="22" spans="1:18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</row>
    <row r="23" spans="1:18">
      <c r="A23" s="131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</row>
    <row r="24" spans="1:18">
      <c r="A24" s="131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</row>
    <row r="25" spans="1:18">
      <c r="A25" s="131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</row>
    <row r="26" spans="1:18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</row>
    <row r="27" spans="1:18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</row>
    <row r="28" spans="1:18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</row>
    <row r="29" spans="1:18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</row>
    <row r="30" spans="1:18">
      <c r="A30" s="131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</row>
    <row r="31" spans="1:18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</row>
    <row r="32" spans="1:18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</row>
    <row r="33" spans="1:18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</row>
    <row r="34" spans="1:18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</row>
    <row r="35" spans="1:18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</row>
    <row r="36" spans="1:18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</row>
    <row r="37" spans="1:18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</row>
    <row r="38" spans="1:18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</row>
    <row r="39" spans="1:18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</row>
    <row r="40" spans="1:18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</row>
    <row r="41" spans="1:18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</row>
    <row r="42" spans="1:18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</row>
    <row r="43" spans="1:18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</row>
    <row r="44" spans="1:18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</row>
    <row r="45" spans="1:18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</row>
    <row r="46" spans="1:18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</row>
    <row r="47" spans="1:18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</row>
    <row r="48" spans="1:18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</row>
    <row r="49" spans="1:18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</row>
    <row r="50" spans="1:18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</row>
    <row r="51" spans="1:18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</row>
    <row r="52" spans="1:18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</row>
    <row r="53" spans="1:18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</row>
    <row r="54" spans="1:18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</row>
  </sheetData>
  <sheetProtection password="F929" sheet="1" formatCells="0" selectLockedCells="1"/>
  <mergeCells count="1">
    <mergeCell ref="A1:R54"/>
  </mergeCells>
  <phoneticPr fontId="2" type="noConversion"/>
  <pageMargins left="0.7" right="0.7" top="0.75" bottom="0.75" header="0.3" footer="0.3"/>
  <pageSetup paperSize="9" scale="54" orientation="landscape" verticalDpi="0" r:id="rId1"/>
  <headerFooter>
    <oddHeader>&amp;C
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50"/>
  <sheetViews>
    <sheetView showGridLines="0" zoomScaleNormal="100" zoomScaleSheetLayoutView="70" zoomScalePageLayoutView="70" workbookViewId="0">
      <selection activeCell="E7" sqref="E7"/>
    </sheetView>
  </sheetViews>
  <sheetFormatPr defaultRowHeight="16.5"/>
  <cols>
    <col min="1" max="4" width="9" style="98"/>
    <col min="5" max="5" width="20.625" style="98" customWidth="1"/>
    <col min="6" max="6" width="23.625" style="98" customWidth="1"/>
    <col min="7" max="7" width="20.625" style="98" customWidth="1"/>
    <col min="8" max="8" width="15.625" style="98" customWidth="1"/>
    <col min="9" max="9" width="10.625" style="98" customWidth="1"/>
    <col min="10" max="10" width="20.625" style="98" customWidth="1"/>
    <col min="11" max="11" width="10.625" style="98" customWidth="1"/>
    <col min="12" max="12" width="9" style="98"/>
    <col min="13" max="13" width="9" style="98" customWidth="1"/>
    <col min="14" max="16384" width="9" style="98"/>
  </cols>
  <sheetData>
    <row r="1" spans="1:18">
      <c r="A1" s="132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</row>
    <row r="2" spans="1:18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</row>
    <row r="3" spans="1:18" ht="16.5" customHeight="1">
      <c r="A3" s="132"/>
      <c r="B3" s="134" t="s">
        <v>30</v>
      </c>
      <c r="C3" s="135"/>
      <c r="D3" s="137" t="s">
        <v>22</v>
      </c>
      <c r="E3" s="137" t="s">
        <v>0</v>
      </c>
      <c r="F3" s="137" t="s">
        <v>2</v>
      </c>
      <c r="G3" s="137" t="s">
        <v>20</v>
      </c>
      <c r="H3" s="137" t="s">
        <v>173</v>
      </c>
      <c r="I3" s="137" t="s">
        <v>23</v>
      </c>
      <c r="J3" s="137" t="s">
        <v>172</v>
      </c>
      <c r="K3" s="137" t="s">
        <v>21</v>
      </c>
      <c r="L3" s="132"/>
      <c r="M3" s="132"/>
      <c r="N3" s="132"/>
      <c r="O3" s="132"/>
      <c r="P3" s="132"/>
      <c r="Q3" s="132"/>
      <c r="R3" s="132"/>
    </row>
    <row r="4" spans="1:18" ht="16.5" customHeight="1">
      <c r="A4" s="132"/>
      <c r="B4" s="135"/>
      <c r="C4" s="135"/>
      <c r="D4" s="137"/>
      <c r="E4" s="137"/>
      <c r="F4" s="137"/>
      <c r="G4" s="137"/>
      <c r="H4" s="137"/>
      <c r="I4" s="137"/>
      <c r="J4" s="137"/>
      <c r="K4" s="137"/>
      <c r="L4" s="132"/>
      <c r="M4" s="132"/>
      <c r="N4" s="132"/>
      <c r="O4" s="132"/>
      <c r="P4" s="132"/>
      <c r="Q4" s="132"/>
      <c r="R4" s="132"/>
    </row>
    <row r="5" spans="1:18" ht="16.5" customHeight="1">
      <c r="A5" s="132"/>
      <c r="B5" s="135"/>
      <c r="C5" s="135"/>
      <c r="D5" s="137"/>
      <c r="E5" s="137"/>
      <c r="F5" s="137"/>
      <c r="G5" s="137"/>
      <c r="H5" s="137"/>
      <c r="I5" s="137"/>
      <c r="J5" s="137"/>
      <c r="K5" s="137"/>
      <c r="L5" s="132"/>
      <c r="M5" s="132"/>
      <c r="N5" s="132"/>
      <c r="O5" s="132"/>
      <c r="P5" s="132"/>
      <c r="Q5" s="132"/>
      <c r="R5" s="132"/>
    </row>
    <row r="6" spans="1:18" ht="16.5" customHeight="1">
      <c r="A6" s="132"/>
      <c r="B6" s="135"/>
      <c r="C6" s="135"/>
      <c r="D6" s="4"/>
      <c r="E6" s="96" t="s">
        <v>1</v>
      </c>
      <c r="F6" s="96" t="s">
        <v>1</v>
      </c>
      <c r="G6" s="96" t="s">
        <v>24</v>
      </c>
      <c r="H6" s="96" t="s">
        <v>18</v>
      </c>
      <c r="I6" s="96" t="s">
        <v>19</v>
      </c>
      <c r="J6" s="96" t="s">
        <v>1</v>
      </c>
      <c r="K6" s="4"/>
      <c r="L6" s="132"/>
      <c r="M6" s="132"/>
      <c r="N6" s="132"/>
      <c r="O6" s="132"/>
      <c r="P6" s="132"/>
      <c r="Q6" s="132"/>
      <c r="R6" s="132"/>
    </row>
    <row r="7" spans="1:18" ht="16.5" customHeight="1">
      <c r="A7" s="132"/>
      <c r="B7" s="135"/>
      <c r="C7" s="135"/>
      <c r="D7" s="6" t="s">
        <v>3</v>
      </c>
      <c r="E7" s="77"/>
      <c r="F7" s="77"/>
      <c r="G7" s="79">
        <f>(G17/10)</f>
        <v>0</v>
      </c>
      <c r="H7" s="3">
        <f>(H17/10)</f>
        <v>0</v>
      </c>
      <c r="I7" s="136">
        <f>'수탁기관 분배량 시뮬레이션'!$D$25</f>
        <v>9452</v>
      </c>
      <c r="J7" s="82">
        <f>'수탁기관 분배량 시뮬레이션'!$L$30</f>
        <v>0</v>
      </c>
      <c r="K7" s="12" t="e">
        <f>(G7/J7)</f>
        <v>#DIV/0!</v>
      </c>
      <c r="L7" s="132"/>
      <c r="M7" s="132"/>
      <c r="N7" s="132"/>
      <c r="O7" s="132"/>
      <c r="P7" s="132"/>
      <c r="Q7" s="132"/>
      <c r="R7" s="132"/>
    </row>
    <row r="8" spans="1:18" ht="16.5" customHeight="1">
      <c r="A8" s="132"/>
      <c r="B8" s="135"/>
      <c r="C8" s="135"/>
      <c r="D8" s="6" t="s">
        <v>4</v>
      </c>
      <c r="E8" s="77"/>
      <c r="F8" s="77"/>
      <c r="G8" s="79">
        <f>(G17/10)</f>
        <v>0</v>
      </c>
      <c r="H8" s="3">
        <f>(H17/10)</f>
        <v>0</v>
      </c>
      <c r="I8" s="136"/>
      <c r="J8" s="82">
        <f>'수탁기관 분배량 시뮬레이션'!$L$30</f>
        <v>0</v>
      </c>
      <c r="K8" s="12" t="e">
        <f t="shared" ref="K8:K16" si="0">(G8/J8)</f>
        <v>#DIV/0!</v>
      </c>
      <c r="L8" s="132"/>
      <c r="M8" s="132"/>
      <c r="N8" s="132"/>
      <c r="O8" s="132"/>
      <c r="P8" s="132"/>
      <c r="Q8" s="132"/>
      <c r="R8" s="132"/>
    </row>
    <row r="9" spans="1:18" ht="16.5" customHeight="1">
      <c r="A9" s="132"/>
      <c r="B9" s="135"/>
      <c r="C9" s="135"/>
      <c r="D9" s="6" t="s">
        <v>5</v>
      </c>
      <c r="E9" s="77"/>
      <c r="F9" s="77"/>
      <c r="G9" s="79">
        <f>(G17/10)</f>
        <v>0</v>
      </c>
      <c r="H9" s="3">
        <f>(H17/10)</f>
        <v>0</v>
      </c>
      <c r="I9" s="136"/>
      <c r="J9" s="82">
        <f>'수탁기관 분배량 시뮬레이션'!$L$30</f>
        <v>0</v>
      </c>
      <c r="K9" s="12" t="e">
        <f t="shared" si="0"/>
        <v>#DIV/0!</v>
      </c>
      <c r="L9" s="132"/>
      <c r="M9" s="132"/>
      <c r="N9" s="132"/>
      <c r="O9" s="132"/>
      <c r="P9" s="132"/>
      <c r="Q9" s="132"/>
      <c r="R9" s="132"/>
    </row>
    <row r="10" spans="1:18" ht="16.5" customHeight="1">
      <c r="A10" s="132"/>
      <c r="B10" s="135"/>
      <c r="C10" s="135"/>
      <c r="D10" s="6" t="s">
        <v>8</v>
      </c>
      <c r="E10" s="77"/>
      <c r="F10" s="77"/>
      <c r="G10" s="79">
        <f>(G17/10)</f>
        <v>0</v>
      </c>
      <c r="H10" s="3">
        <f>(H17/10)</f>
        <v>0</v>
      </c>
      <c r="I10" s="136"/>
      <c r="J10" s="82">
        <f>'수탁기관 분배량 시뮬레이션'!$L$30</f>
        <v>0</v>
      </c>
      <c r="K10" s="12" t="e">
        <f t="shared" si="0"/>
        <v>#DIV/0!</v>
      </c>
      <c r="L10" s="132"/>
      <c r="M10" s="132"/>
      <c r="N10" s="132"/>
      <c r="O10" s="132"/>
      <c r="P10" s="132"/>
      <c r="Q10" s="132"/>
      <c r="R10" s="132"/>
    </row>
    <row r="11" spans="1:18" ht="16.5" customHeight="1">
      <c r="A11" s="132"/>
      <c r="B11" s="135"/>
      <c r="C11" s="135"/>
      <c r="D11" s="6" t="s">
        <v>9</v>
      </c>
      <c r="E11" s="77"/>
      <c r="F11" s="77"/>
      <c r="G11" s="79">
        <f>(G17/10)</f>
        <v>0</v>
      </c>
      <c r="H11" s="3">
        <f>(H17/10)</f>
        <v>0</v>
      </c>
      <c r="I11" s="136"/>
      <c r="J11" s="82">
        <f>'수탁기관 분배량 시뮬레이션'!$L$30</f>
        <v>0</v>
      </c>
      <c r="K11" s="12" t="e">
        <f t="shared" si="0"/>
        <v>#DIV/0!</v>
      </c>
      <c r="L11" s="132"/>
      <c r="M11" s="132"/>
      <c r="N11" s="132"/>
      <c r="O11" s="132"/>
      <c r="P11" s="132"/>
      <c r="Q11" s="132"/>
      <c r="R11" s="132"/>
    </row>
    <row r="12" spans="1:18" ht="16.5" customHeight="1">
      <c r="A12" s="132"/>
      <c r="B12" s="135"/>
      <c r="C12" s="135"/>
      <c r="D12" s="6" t="s">
        <v>10</v>
      </c>
      <c r="E12" s="77"/>
      <c r="F12" s="77"/>
      <c r="G12" s="79">
        <f>(G17/10)</f>
        <v>0</v>
      </c>
      <c r="H12" s="3">
        <f>(H17/10)</f>
        <v>0</v>
      </c>
      <c r="I12" s="136"/>
      <c r="J12" s="82">
        <f>'수탁기관 분배량 시뮬레이션'!$L$30</f>
        <v>0</v>
      </c>
      <c r="K12" s="12" t="e">
        <f t="shared" si="0"/>
        <v>#DIV/0!</v>
      </c>
      <c r="L12" s="132"/>
      <c r="M12" s="132"/>
      <c r="N12" s="132"/>
      <c r="O12" s="132"/>
      <c r="P12" s="132"/>
      <c r="Q12" s="132"/>
      <c r="R12" s="132"/>
    </row>
    <row r="13" spans="1:18" ht="16.5" customHeight="1">
      <c r="A13" s="132"/>
      <c r="B13" s="135"/>
      <c r="C13" s="135"/>
      <c r="D13" s="6" t="s">
        <v>11</v>
      </c>
      <c r="E13" s="75"/>
      <c r="F13" s="75"/>
      <c r="G13" s="80">
        <f>(G17/10)</f>
        <v>0</v>
      </c>
      <c r="H13" s="2">
        <f>(H17/10)</f>
        <v>0</v>
      </c>
      <c r="I13" s="136"/>
      <c r="J13" s="82">
        <f>'수탁기관 분배량 시뮬레이션'!$L$30</f>
        <v>0</v>
      </c>
      <c r="K13" s="12" t="e">
        <f t="shared" si="0"/>
        <v>#DIV/0!</v>
      </c>
      <c r="L13" s="132"/>
      <c r="M13" s="132"/>
      <c r="N13" s="132"/>
      <c r="O13" s="132"/>
      <c r="P13" s="132"/>
      <c r="Q13" s="132"/>
      <c r="R13" s="132"/>
    </row>
    <row r="14" spans="1:18" ht="16.5" customHeight="1">
      <c r="A14" s="132"/>
      <c r="B14" s="135"/>
      <c r="C14" s="135"/>
      <c r="D14" s="6" t="s">
        <v>12</v>
      </c>
      <c r="E14" s="75"/>
      <c r="F14" s="75"/>
      <c r="G14" s="80">
        <f>(G17/10)</f>
        <v>0</v>
      </c>
      <c r="H14" s="2">
        <f>(H17/10)</f>
        <v>0</v>
      </c>
      <c r="I14" s="136"/>
      <c r="J14" s="82">
        <f>'수탁기관 분배량 시뮬레이션'!$L$30</f>
        <v>0</v>
      </c>
      <c r="K14" s="12" t="e">
        <f t="shared" si="0"/>
        <v>#DIV/0!</v>
      </c>
      <c r="L14" s="132"/>
      <c r="M14" s="132"/>
      <c r="N14" s="132"/>
      <c r="O14" s="132"/>
      <c r="P14" s="132"/>
      <c r="Q14" s="132"/>
      <c r="R14" s="132"/>
    </row>
    <row r="15" spans="1:18" ht="16.5" customHeight="1">
      <c r="A15" s="132"/>
      <c r="B15" s="135"/>
      <c r="C15" s="135"/>
      <c r="D15" s="6" t="s">
        <v>13</v>
      </c>
      <c r="E15" s="75"/>
      <c r="F15" s="75"/>
      <c r="G15" s="80">
        <f>(G17/10)</f>
        <v>0</v>
      </c>
      <c r="H15" s="2">
        <f>(H17/10)</f>
        <v>0</v>
      </c>
      <c r="I15" s="136"/>
      <c r="J15" s="82">
        <f>'수탁기관 분배량 시뮬레이션'!$L$30</f>
        <v>0</v>
      </c>
      <c r="K15" s="12" t="e">
        <f t="shared" si="0"/>
        <v>#DIV/0!</v>
      </c>
      <c r="L15" s="132"/>
      <c r="M15" s="132"/>
      <c r="N15" s="132"/>
      <c r="O15" s="132"/>
      <c r="P15" s="132"/>
      <c r="Q15" s="132"/>
      <c r="R15" s="132"/>
    </row>
    <row r="16" spans="1:18" ht="16.5" customHeight="1">
      <c r="A16" s="132"/>
      <c r="B16" s="135"/>
      <c r="C16" s="135"/>
      <c r="D16" s="6" t="s">
        <v>6</v>
      </c>
      <c r="E16" s="75"/>
      <c r="F16" s="75"/>
      <c r="G16" s="80">
        <f>(G17/10)</f>
        <v>0</v>
      </c>
      <c r="H16" s="2">
        <f>(H17/10)</f>
        <v>0</v>
      </c>
      <c r="I16" s="136"/>
      <c r="J16" s="82">
        <f>'수탁기관 분배량 시뮬레이션'!$L$30</f>
        <v>0</v>
      </c>
      <c r="K16" s="12" t="e">
        <f t="shared" si="0"/>
        <v>#DIV/0!</v>
      </c>
      <c r="L16" s="132"/>
      <c r="M16" s="132"/>
      <c r="N16" s="132"/>
      <c r="O16" s="132"/>
      <c r="P16" s="132"/>
      <c r="Q16" s="132"/>
      <c r="R16" s="132"/>
    </row>
    <row r="17" spans="1:18" ht="16.5" customHeight="1">
      <c r="A17" s="132"/>
      <c r="B17" s="135"/>
      <c r="C17" s="135"/>
      <c r="D17" s="9" t="s">
        <v>7</v>
      </c>
      <c r="E17" s="78">
        <f>SUM(E7:E16)</f>
        <v>0</v>
      </c>
      <c r="F17" s="78">
        <f>SUM(F7:F16)</f>
        <v>0</v>
      </c>
      <c r="G17" s="81">
        <f>'수탁기관 분배량 시뮬레이션'!$D$15</f>
        <v>0</v>
      </c>
      <c r="H17" s="10">
        <f>('수탁기관 분배량 시뮬레이션'!$D$13/100000000)</f>
        <v>0</v>
      </c>
      <c r="I17" s="1"/>
      <c r="J17" s="83">
        <f>SUM(J7:J16)</f>
        <v>0</v>
      </c>
      <c r="K17" s="13"/>
      <c r="L17" s="132"/>
      <c r="M17" s="132"/>
      <c r="N17" s="132"/>
      <c r="O17" s="132"/>
      <c r="P17" s="132"/>
      <c r="Q17" s="132"/>
      <c r="R17" s="132"/>
    </row>
    <row r="18" spans="1:18">
      <c r="A18" s="132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2"/>
      <c r="M18" s="132"/>
      <c r="N18" s="132"/>
      <c r="O18" s="132"/>
      <c r="P18" s="132"/>
      <c r="Q18" s="132"/>
      <c r="R18" s="132"/>
    </row>
    <row r="19" spans="1:18">
      <c r="A19" s="132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</row>
    <row r="20" spans="1:18">
      <c r="A20" s="132"/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</row>
    <row r="21" spans="1:18">
      <c r="A21" s="132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</row>
    <row r="22" spans="1:18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</row>
    <row r="23" spans="1:18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</row>
    <row r="24" spans="1:18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</row>
    <row r="25" spans="1:18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</row>
    <row r="26" spans="1:18">
      <c r="A26" s="132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</row>
    <row r="27" spans="1:18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</row>
    <row r="28" spans="1:18">
      <c r="A28" s="132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</row>
    <row r="29" spans="1:18">
      <c r="A29" s="132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</row>
    <row r="30" spans="1:18">
      <c r="A30" s="132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</row>
    <row r="31" spans="1:18">
      <c r="A31" s="132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</row>
    <row r="32" spans="1:18">
      <c r="A32" s="132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</row>
    <row r="33" spans="1:18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</row>
    <row r="34" spans="1:18">
      <c r="A34" s="132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</row>
    <row r="35" spans="1:18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</row>
    <row r="36" spans="1:18">
      <c r="A36" s="132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</row>
    <row r="37" spans="1:18">
      <c r="A37" s="132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</row>
    <row r="38" spans="1:18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</row>
    <row r="39" spans="1:18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</row>
    <row r="40" spans="1:18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</row>
    <row r="41" spans="1:18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</row>
    <row r="42" spans="1:18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</row>
    <row r="43" spans="1:18">
      <c r="A43" s="132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</row>
    <row r="44" spans="1:18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</row>
    <row r="45" spans="1:18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</row>
    <row r="46" spans="1:18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</row>
    <row r="47" spans="1:18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</row>
    <row r="48" spans="1:18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</row>
    <row r="49" spans="1:18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</row>
    <row r="50" spans="1:18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</row>
  </sheetData>
  <sheetProtection password="F8E9" sheet="1" objects="1" scenarios="1"/>
  <mergeCells count="14">
    <mergeCell ref="A1:A50"/>
    <mergeCell ref="L1:R50"/>
    <mergeCell ref="B18:K50"/>
    <mergeCell ref="B3:C17"/>
    <mergeCell ref="B1:K2"/>
    <mergeCell ref="I7:I16"/>
    <mergeCell ref="E3:E5"/>
    <mergeCell ref="F3:F5"/>
    <mergeCell ref="D3:D5"/>
    <mergeCell ref="K3:K5"/>
    <mergeCell ref="J3:J5"/>
    <mergeCell ref="I3:I5"/>
    <mergeCell ref="H3:H5"/>
    <mergeCell ref="G3:G5"/>
  </mergeCells>
  <phoneticPr fontId="2" type="noConversion"/>
  <pageMargins left="0.7" right="0.7" top="0.75" bottom="0.75" header="0.3" footer="0.3"/>
  <pageSetup paperSize="9" scale="54" orientation="landscape" verticalDpi="0" r:id="rId1"/>
  <headerFooter>
    <oddHeader>&amp;C
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50"/>
  <sheetViews>
    <sheetView showGridLines="0" zoomScaleNormal="100" zoomScaleSheetLayoutView="70" zoomScalePageLayoutView="70" workbookViewId="0">
      <selection activeCell="E7" sqref="E7"/>
    </sheetView>
  </sheetViews>
  <sheetFormatPr defaultRowHeight="16.5"/>
  <cols>
    <col min="1" max="4" width="9" style="98"/>
    <col min="5" max="5" width="20.625" style="98" customWidth="1"/>
    <col min="6" max="6" width="23.625" style="98" customWidth="1"/>
    <col min="7" max="7" width="20.625" style="98" customWidth="1"/>
    <col min="8" max="8" width="15.625" style="98" customWidth="1"/>
    <col min="9" max="9" width="10.625" style="98" customWidth="1"/>
    <col min="10" max="10" width="20.625" style="98" customWidth="1"/>
    <col min="11" max="11" width="10.625" style="98" customWidth="1"/>
    <col min="12" max="16384" width="9" style="98"/>
  </cols>
  <sheetData>
    <row r="1" spans="1:18">
      <c r="A1" s="132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</row>
    <row r="2" spans="1:18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</row>
    <row r="3" spans="1:18" ht="16.5" customHeight="1">
      <c r="A3" s="132"/>
      <c r="B3" s="138" t="s">
        <v>31</v>
      </c>
      <c r="C3" s="139"/>
      <c r="D3" s="137" t="s">
        <v>22</v>
      </c>
      <c r="E3" s="137" t="s">
        <v>0</v>
      </c>
      <c r="F3" s="137" t="s">
        <v>2</v>
      </c>
      <c r="G3" s="137" t="s">
        <v>20</v>
      </c>
      <c r="H3" s="137" t="s">
        <v>173</v>
      </c>
      <c r="I3" s="137" t="s">
        <v>23</v>
      </c>
      <c r="J3" s="137" t="s">
        <v>172</v>
      </c>
      <c r="K3" s="137" t="s">
        <v>21</v>
      </c>
      <c r="L3" s="132"/>
      <c r="M3" s="132"/>
      <c r="N3" s="132"/>
      <c r="O3" s="132"/>
      <c r="P3" s="132"/>
      <c r="Q3" s="132"/>
      <c r="R3" s="132"/>
    </row>
    <row r="4" spans="1:18">
      <c r="A4" s="132"/>
      <c r="B4" s="139"/>
      <c r="C4" s="139"/>
      <c r="D4" s="137"/>
      <c r="E4" s="137"/>
      <c r="F4" s="137"/>
      <c r="G4" s="137"/>
      <c r="H4" s="137"/>
      <c r="I4" s="137"/>
      <c r="J4" s="137"/>
      <c r="K4" s="137"/>
      <c r="L4" s="132"/>
      <c r="M4" s="132"/>
      <c r="N4" s="132"/>
      <c r="O4" s="132"/>
      <c r="P4" s="132"/>
      <c r="Q4" s="132"/>
      <c r="R4" s="132"/>
    </row>
    <row r="5" spans="1:18">
      <c r="A5" s="132"/>
      <c r="B5" s="139"/>
      <c r="C5" s="139"/>
      <c r="D5" s="137"/>
      <c r="E5" s="137"/>
      <c r="F5" s="137"/>
      <c r="G5" s="137"/>
      <c r="H5" s="137"/>
      <c r="I5" s="137"/>
      <c r="J5" s="137"/>
      <c r="K5" s="137"/>
      <c r="L5" s="132"/>
      <c r="M5" s="132"/>
      <c r="N5" s="132"/>
      <c r="O5" s="132"/>
      <c r="P5" s="132"/>
      <c r="Q5" s="132"/>
      <c r="R5" s="132"/>
    </row>
    <row r="6" spans="1:18">
      <c r="A6" s="132"/>
      <c r="B6" s="139"/>
      <c r="C6" s="139"/>
      <c r="D6" s="4"/>
      <c r="E6" s="5" t="s">
        <v>1</v>
      </c>
      <c r="F6" s="5" t="s">
        <v>1</v>
      </c>
      <c r="G6" s="5" t="s">
        <v>24</v>
      </c>
      <c r="H6" s="5" t="s">
        <v>18</v>
      </c>
      <c r="I6" s="5" t="s">
        <v>19</v>
      </c>
      <c r="J6" s="5" t="s">
        <v>1</v>
      </c>
      <c r="K6" s="4"/>
      <c r="L6" s="132"/>
      <c r="M6" s="132"/>
      <c r="N6" s="132"/>
      <c r="O6" s="132"/>
      <c r="P6" s="132"/>
      <c r="Q6" s="132"/>
      <c r="R6" s="132"/>
    </row>
    <row r="7" spans="1:18">
      <c r="A7" s="132"/>
      <c r="B7" s="139"/>
      <c r="C7" s="139"/>
      <c r="D7" s="6" t="s">
        <v>3</v>
      </c>
      <c r="E7" s="77"/>
      <c r="F7" s="77"/>
      <c r="G7" s="82">
        <f>(G17/10)</f>
        <v>0</v>
      </c>
      <c r="H7" s="3">
        <f>(H17/10)</f>
        <v>0</v>
      </c>
      <c r="I7" s="136">
        <f>'수탁기관 분배량 시뮬레이션'!$D$36</f>
        <v>9452</v>
      </c>
      <c r="J7" s="82">
        <f>'수탁기관 분배량 시뮬레이션'!$L$46</f>
        <v>0</v>
      </c>
      <c r="K7" s="8"/>
      <c r="L7" s="132"/>
      <c r="M7" s="132"/>
      <c r="N7" s="132"/>
      <c r="O7" s="132"/>
      <c r="P7" s="132"/>
      <c r="Q7" s="132"/>
      <c r="R7" s="132"/>
    </row>
    <row r="8" spans="1:18">
      <c r="A8" s="132"/>
      <c r="B8" s="139"/>
      <c r="C8" s="139"/>
      <c r="D8" s="6" t="s">
        <v>4</v>
      </c>
      <c r="E8" s="77"/>
      <c r="F8" s="77"/>
      <c r="G8" s="82">
        <f>(G17/10)</f>
        <v>0</v>
      </c>
      <c r="H8" s="3">
        <f>(H17/10)</f>
        <v>0</v>
      </c>
      <c r="I8" s="136"/>
      <c r="J8" s="82">
        <f>'수탁기관 분배량 시뮬레이션'!M$46</f>
        <v>0</v>
      </c>
      <c r="K8" s="8" t="e">
        <f t="shared" ref="K8:K16" si="0">(G8/J8)</f>
        <v>#DIV/0!</v>
      </c>
      <c r="L8" s="132"/>
      <c r="M8" s="132"/>
      <c r="N8" s="132"/>
      <c r="O8" s="132"/>
      <c r="P8" s="132"/>
      <c r="Q8" s="132"/>
      <c r="R8" s="132"/>
    </row>
    <row r="9" spans="1:18">
      <c r="A9" s="132"/>
      <c r="B9" s="139"/>
      <c r="C9" s="139"/>
      <c r="D9" s="6" t="s">
        <v>5</v>
      </c>
      <c r="E9" s="77"/>
      <c r="F9" s="77"/>
      <c r="G9" s="82">
        <f>(G17/10)</f>
        <v>0</v>
      </c>
      <c r="H9" s="3">
        <f>(H17/10)</f>
        <v>0</v>
      </c>
      <c r="I9" s="136"/>
      <c r="J9" s="82">
        <f>'수탁기관 분배량 시뮬레이션'!N$46</f>
        <v>0</v>
      </c>
      <c r="K9" s="8" t="e">
        <f t="shared" si="0"/>
        <v>#DIV/0!</v>
      </c>
      <c r="L9" s="132"/>
      <c r="M9" s="132"/>
      <c r="N9" s="132"/>
      <c r="O9" s="132"/>
      <c r="P9" s="132"/>
      <c r="Q9" s="132"/>
      <c r="R9" s="132"/>
    </row>
    <row r="10" spans="1:18">
      <c r="A10" s="132"/>
      <c r="B10" s="139"/>
      <c r="C10" s="139"/>
      <c r="D10" s="6" t="s">
        <v>8</v>
      </c>
      <c r="E10" s="77"/>
      <c r="F10" s="77"/>
      <c r="G10" s="82">
        <f>(G17/10)</f>
        <v>0</v>
      </c>
      <c r="H10" s="3">
        <f>(H17/10)</f>
        <v>0</v>
      </c>
      <c r="I10" s="136"/>
      <c r="J10" s="82">
        <f>'수탁기관 분배량 시뮬레이션'!O$46</f>
        <v>0</v>
      </c>
      <c r="K10" s="8" t="e">
        <f t="shared" si="0"/>
        <v>#DIV/0!</v>
      </c>
      <c r="L10" s="132"/>
      <c r="M10" s="132"/>
      <c r="N10" s="132"/>
      <c r="O10" s="132"/>
      <c r="P10" s="132"/>
      <c r="Q10" s="132"/>
      <c r="R10" s="132"/>
    </row>
    <row r="11" spans="1:18">
      <c r="A11" s="132"/>
      <c r="B11" s="139"/>
      <c r="C11" s="139"/>
      <c r="D11" s="6" t="s">
        <v>9</v>
      </c>
      <c r="E11" s="77"/>
      <c r="F11" s="77"/>
      <c r="G11" s="82">
        <f>(G17/10)</f>
        <v>0</v>
      </c>
      <c r="H11" s="3">
        <f>(H17/10)</f>
        <v>0</v>
      </c>
      <c r="I11" s="136"/>
      <c r="J11" s="82">
        <f>'수탁기관 분배량 시뮬레이션'!P$46</f>
        <v>0</v>
      </c>
      <c r="K11" s="8" t="e">
        <f t="shared" si="0"/>
        <v>#DIV/0!</v>
      </c>
      <c r="L11" s="132"/>
      <c r="M11" s="132"/>
      <c r="N11" s="132"/>
      <c r="O11" s="132"/>
      <c r="P11" s="132"/>
      <c r="Q11" s="132"/>
      <c r="R11" s="132"/>
    </row>
    <row r="12" spans="1:18">
      <c r="A12" s="132"/>
      <c r="B12" s="139"/>
      <c r="C12" s="139"/>
      <c r="D12" s="6" t="s">
        <v>10</v>
      </c>
      <c r="E12" s="77"/>
      <c r="F12" s="77"/>
      <c r="G12" s="82">
        <f>(G17/10)</f>
        <v>0</v>
      </c>
      <c r="H12" s="3">
        <f>(H17/10)</f>
        <v>0</v>
      </c>
      <c r="I12" s="136"/>
      <c r="J12" s="82">
        <f>'수탁기관 분배량 시뮬레이션'!Q$46</f>
        <v>0</v>
      </c>
      <c r="K12" s="8" t="e">
        <f t="shared" si="0"/>
        <v>#DIV/0!</v>
      </c>
      <c r="L12" s="132"/>
      <c r="M12" s="132"/>
      <c r="N12" s="132"/>
      <c r="O12" s="132"/>
      <c r="P12" s="132"/>
      <c r="Q12" s="132"/>
      <c r="R12" s="132"/>
    </row>
    <row r="13" spans="1:18">
      <c r="A13" s="132"/>
      <c r="B13" s="139"/>
      <c r="C13" s="139"/>
      <c r="D13" s="6" t="s">
        <v>11</v>
      </c>
      <c r="E13" s="75"/>
      <c r="F13" s="75"/>
      <c r="G13" s="84">
        <f>(G17/10)</f>
        <v>0</v>
      </c>
      <c r="H13" s="2">
        <f>(H17/10)</f>
        <v>0</v>
      </c>
      <c r="I13" s="136"/>
      <c r="J13" s="82">
        <f>'수탁기관 분배량 시뮬레이션'!R$46</f>
        <v>0</v>
      </c>
      <c r="K13" s="8" t="e">
        <f t="shared" si="0"/>
        <v>#DIV/0!</v>
      </c>
      <c r="L13" s="132"/>
      <c r="M13" s="132"/>
      <c r="N13" s="132"/>
      <c r="O13" s="132"/>
      <c r="P13" s="132"/>
      <c r="Q13" s="132"/>
      <c r="R13" s="132"/>
    </row>
    <row r="14" spans="1:18">
      <c r="A14" s="132"/>
      <c r="B14" s="139"/>
      <c r="C14" s="139"/>
      <c r="D14" s="6" t="s">
        <v>12</v>
      </c>
      <c r="E14" s="75"/>
      <c r="F14" s="75"/>
      <c r="G14" s="84">
        <f>(G17/10)</f>
        <v>0</v>
      </c>
      <c r="H14" s="2">
        <f>(H17/10)</f>
        <v>0</v>
      </c>
      <c r="I14" s="136"/>
      <c r="J14" s="82">
        <f>'수탁기관 분배량 시뮬레이션'!S$46</f>
        <v>0</v>
      </c>
      <c r="K14" s="8" t="e">
        <f t="shared" si="0"/>
        <v>#DIV/0!</v>
      </c>
      <c r="L14" s="132"/>
      <c r="M14" s="132"/>
      <c r="N14" s="132"/>
      <c r="O14" s="132"/>
      <c r="P14" s="132"/>
      <c r="Q14" s="132"/>
      <c r="R14" s="132"/>
    </row>
    <row r="15" spans="1:18">
      <c r="A15" s="132"/>
      <c r="B15" s="139"/>
      <c r="C15" s="139"/>
      <c r="D15" s="6" t="s">
        <v>13</v>
      </c>
      <c r="E15" s="75"/>
      <c r="F15" s="75"/>
      <c r="G15" s="84">
        <f>(G17/10)</f>
        <v>0</v>
      </c>
      <c r="H15" s="2">
        <f>(H17/10)</f>
        <v>0</v>
      </c>
      <c r="I15" s="136"/>
      <c r="J15" s="82">
        <f>'수탁기관 분배량 시뮬레이션'!T$46</f>
        <v>0</v>
      </c>
      <c r="K15" s="8" t="e">
        <f t="shared" si="0"/>
        <v>#DIV/0!</v>
      </c>
      <c r="L15" s="132"/>
      <c r="M15" s="132"/>
      <c r="N15" s="132"/>
      <c r="O15" s="132"/>
      <c r="P15" s="132"/>
      <c r="Q15" s="132"/>
      <c r="R15" s="132"/>
    </row>
    <row r="16" spans="1:18">
      <c r="A16" s="132"/>
      <c r="B16" s="139"/>
      <c r="C16" s="139"/>
      <c r="D16" s="6" t="s">
        <v>6</v>
      </c>
      <c r="E16" s="75"/>
      <c r="F16" s="75"/>
      <c r="G16" s="84">
        <f>(G17/10)</f>
        <v>0</v>
      </c>
      <c r="H16" s="2">
        <f>(H17/10)</f>
        <v>0</v>
      </c>
      <c r="I16" s="136"/>
      <c r="J16" s="82">
        <f>'수탁기관 분배량 시뮬레이션'!U$46</f>
        <v>0</v>
      </c>
      <c r="K16" s="8" t="e">
        <f t="shared" si="0"/>
        <v>#DIV/0!</v>
      </c>
      <c r="L16" s="132"/>
      <c r="M16" s="132"/>
      <c r="N16" s="132"/>
      <c r="O16" s="132"/>
      <c r="P16" s="132"/>
      <c r="Q16" s="132"/>
      <c r="R16" s="132"/>
    </row>
    <row r="17" spans="1:18">
      <c r="A17" s="132"/>
      <c r="B17" s="139"/>
      <c r="C17" s="139"/>
      <c r="D17" s="9" t="s">
        <v>7</v>
      </c>
      <c r="E17" s="78">
        <f>SUM(E7:E16)</f>
        <v>0</v>
      </c>
      <c r="F17" s="78">
        <f>SUM(F7:F16)</f>
        <v>0</v>
      </c>
      <c r="G17" s="83">
        <f>'수탁기관 분배량 시뮬레이션'!$D$15</f>
        <v>0</v>
      </c>
      <c r="H17" s="10">
        <f>'수탁기관 분배량 시뮬레이션'!$D$13/100000000</f>
        <v>0</v>
      </c>
      <c r="I17" s="1"/>
      <c r="J17" s="83">
        <f>SUM(J7:J16)</f>
        <v>0</v>
      </c>
      <c r="K17" s="11"/>
      <c r="L17" s="132"/>
      <c r="M17" s="132"/>
      <c r="N17" s="132"/>
      <c r="O17" s="132"/>
      <c r="P17" s="132"/>
      <c r="Q17" s="132"/>
      <c r="R17" s="132"/>
    </row>
    <row r="18" spans="1:18">
      <c r="A18" s="132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2"/>
      <c r="M18" s="132"/>
      <c r="N18" s="132"/>
      <c r="O18" s="132"/>
      <c r="P18" s="132"/>
      <c r="Q18" s="132"/>
      <c r="R18" s="132"/>
    </row>
    <row r="19" spans="1:18">
      <c r="A19" s="132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</row>
    <row r="20" spans="1:18">
      <c r="A20" s="132"/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</row>
    <row r="21" spans="1:18">
      <c r="A21" s="132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</row>
    <row r="22" spans="1:18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</row>
    <row r="23" spans="1:18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</row>
    <row r="24" spans="1:18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</row>
    <row r="25" spans="1:18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</row>
    <row r="26" spans="1:18">
      <c r="A26" s="132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</row>
    <row r="27" spans="1:18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</row>
    <row r="28" spans="1:18">
      <c r="A28" s="132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</row>
    <row r="29" spans="1:18">
      <c r="A29" s="132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</row>
    <row r="30" spans="1:18">
      <c r="A30" s="132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</row>
    <row r="31" spans="1:18">
      <c r="A31" s="132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</row>
    <row r="32" spans="1:18">
      <c r="A32" s="132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</row>
    <row r="33" spans="1:18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</row>
    <row r="34" spans="1:18">
      <c r="A34" s="132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</row>
    <row r="35" spans="1:18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</row>
    <row r="36" spans="1:18">
      <c r="A36" s="132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</row>
    <row r="37" spans="1:18">
      <c r="A37" s="132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</row>
    <row r="38" spans="1:18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</row>
    <row r="39" spans="1:18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</row>
    <row r="40" spans="1:18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</row>
    <row r="41" spans="1:18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</row>
    <row r="42" spans="1:18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</row>
    <row r="43" spans="1:18">
      <c r="A43" s="132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</row>
    <row r="44" spans="1:18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</row>
    <row r="45" spans="1:18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</row>
    <row r="46" spans="1:18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</row>
    <row r="47" spans="1:18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</row>
    <row r="48" spans="1:18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</row>
    <row r="49" spans="1:18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</row>
    <row r="50" spans="1:18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</row>
  </sheetData>
  <sheetProtection password="F8E9" sheet="1" objects="1" scenarios="1"/>
  <mergeCells count="14">
    <mergeCell ref="A1:A50"/>
    <mergeCell ref="L1:R50"/>
    <mergeCell ref="B18:K50"/>
    <mergeCell ref="I7:I16"/>
    <mergeCell ref="B1:K2"/>
    <mergeCell ref="B3:C17"/>
    <mergeCell ref="D3:D5"/>
    <mergeCell ref="E3:E5"/>
    <mergeCell ref="F3:F5"/>
    <mergeCell ref="G3:G5"/>
    <mergeCell ref="H3:H5"/>
    <mergeCell ref="I3:I5"/>
    <mergeCell ref="J3:J5"/>
    <mergeCell ref="K3:K5"/>
  </mergeCells>
  <phoneticPr fontId="2" type="noConversion"/>
  <pageMargins left="0.7" right="0.7" top="0.75" bottom="0.75" header="0.3" footer="0.3"/>
  <pageSetup paperSize="9" scale="54" orientation="landscape" verticalDpi="0" r:id="rId1"/>
  <headerFooter>
    <oddHeader>&amp;C
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0"/>
  <sheetViews>
    <sheetView showGridLines="0" zoomScaleNormal="100" zoomScalePageLayoutView="70" workbookViewId="0">
      <selection activeCell="E7" sqref="E7"/>
    </sheetView>
  </sheetViews>
  <sheetFormatPr defaultRowHeight="16.5"/>
  <cols>
    <col min="1" max="4" width="9" style="98"/>
    <col min="5" max="5" width="20.625" style="98" customWidth="1"/>
    <col min="6" max="6" width="23.625" style="98" customWidth="1"/>
    <col min="7" max="7" width="20.625" style="98" customWidth="1"/>
    <col min="8" max="8" width="15.625" style="98" customWidth="1"/>
    <col min="9" max="9" width="10.625" style="98" customWidth="1"/>
    <col min="10" max="10" width="20.625" style="98" customWidth="1"/>
    <col min="11" max="11" width="10.625" style="98" customWidth="1"/>
    <col min="12" max="12" width="11" style="98" bestFit="1" customWidth="1"/>
    <col min="13" max="16384" width="9" style="98"/>
  </cols>
  <sheetData>
    <row r="1" spans="1:18">
      <c r="A1" s="132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</row>
    <row r="2" spans="1:18">
      <c r="A2" s="132"/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</row>
    <row r="3" spans="1:18" ht="16.5" customHeight="1">
      <c r="A3" s="132"/>
      <c r="B3" s="140" t="s">
        <v>27</v>
      </c>
      <c r="C3" s="141"/>
      <c r="D3" s="137" t="s">
        <v>22</v>
      </c>
      <c r="E3" s="137" t="s">
        <v>0</v>
      </c>
      <c r="F3" s="137" t="s">
        <v>2</v>
      </c>
      <c r="G3" s="137" t="s">
        <v>20</v>
      </c>
      <c r="H3" s="137" t="s">
        <v>173</v>
      </c>
      <c r="I3" s="137" t="s">
        <v>23</v>
      </c>
      <c r="J3" s="137" t="s">
        <v>172</v>
      </c>
      <c r="K3" s="137" t="s">
        <v>21</v>
      </c>
      <c r="L3" s="132"/>
      <c r="M3" s="132"/>
      <c r="N3" s="132"/>
      <c r="O3" s="132"/>
      <c r="P3" s="132"/>
      <c r="Q3" s="132"/>
      <c r="R3" s="132"/>
    </row>
    <row r="4" spans="1:18">
      <c r="A4" s="132"/>
      <c r="B4" s="141"/>
      <c r="C4" s="141"/>
      <c r="D4" s="137"/>
      <c r="E4" s="137"/>
      <c r="F4" s="137"/>
      <c r="G4" s="137"/>
      <c r="H4" s="137"/>
      <c r="I4" s="137"/>
      <c r="J4" s="137"/>
      <c r="K4" s="137"/>
      <c r="L4" s="132"/>
      <c r="M4" s="132"/>
      <c r="N4" s="132"/>
      <c r="O4" s="132"/>
      <c r="P4" s="132"/>
      <c r="Q4" s="132"/>
      <c r="R4" s="132"/>
    </row>
    <row r="5" spans="1:18">
      <c r="A5" s="132"/>
      <c r="B5" s="141"/>
      <c r="C5" s="141"/>
      <c r="D5" s="137"/>
      <c r="E5" s="137"/>
      <c r="F5" s="137"/>
      <c r="G5" s="137"/>
      <c r="H5" s="137"/>
      <c r="I5" s="137"/>
      <c r="J5" s="137"/>
      <c r="K5" s="137"/>
      <c r="L5" s="132"/>
      <c r="M5" s="132"/>
      <c r="N5" s="132"/>
      <c r="O5" s="132"/>
      <c r="P5" s="132"/>
      <c r="Q5" s="132"/>
      <c r="R5" s="132"/>
    </row>
    <row r="6" spans="1:18">
      <c r="A6" s="132"/>
      <c r="B6" s="141"/>
      <c r="C6" s="141"/>
      <c r="D6" s="4"/>
      <c r="E6" s="5" t="s">
        <v>1</v>
      </c>
      <c r="F6" s="5" t="s">
        <v>1</v>
      </c>
      <c r="G6" s="5" t="s">
        <v>24</v>
      </c>
      <c r="H6" s="5" t="s">
        <v>44</v>
      </c>
      <c r="I6" s="5" t="s">
        <v>19</v>
      </c>
      <c r="J6" s="5" t="s">
        <v>1</v>
      </c>
      <c r="K6" s="4"/>
      <c r="L6" s="132"/>
      <c r="M6" s="132"/>
      <c r="N6" s="132"/>
      <c r="O6" s="132"/>
      <c r="P6" s="132"/>
      <c r="Q6" s="132"/>
      <c r="R6" s="132"/>
    </row>
    <row r="7" spans="1:18">
      <c r="A7" s="132"/>
      <c r="B7" s="141"/>
      <c r="C7" s="141"/>
      <c r="D7" s="6" t="s">
        <v>3</v>
      </c>
      <c r="E7" s="77"/>
      <c r="F7" s="77"/>
      <c r="G7" s="82">
        <f>(G17/10)</f>
        <v>0</v>
      </c>
      <c r="H7" s="3">
        <f>$H$17/10</f>
        <v>0</v>
      </c>
      <c r="I7" s="7">
        <f>'수탁기관 분배량 시뮬레이션'!D56</f>
        <v>0</v>
      </c>
      <c r="J7" s="82" t="e">
        <f>'수탁기관 분배량 시뮬레이션'!L$65</f>
        <v>#DIV/0!</v>
      </c>
      <c r="K7" s="8" t="e">
        <f>(G7/J7)</f>
        <v>#DIV/0!</v>
      </c>
      <c r="L7" s="132"/>
      <c r="M7" s="132"/>
      <c r="N7" s="132"/>
      <c r="O7" s="132"/>
      <c r="P7" s="132"/>
      <c r="Q7" s="132"/>
      <c r="R7" s="132"/>
    </row>
    <row r="8" spans="1:18">
      <c r="A8" s="132"/>
      <c r="B8" s="141"/>
      <c r="C8" s="141"/>
      <c r="D8" s="6" t="s">
        <v>4</v>
      </c>
      <c r="E8" s="77"/>
      <c r="F8" s="77"/>
      <c r="G8" s="82">
        <f>(G17/10)</f>
        <v>0</v>
      </c>
      <c r="H8" s="3">
        <f>$H$17/10</f>
        <v>0</v>
      </c>
      <c r="I8" s="7">
        <f>'수탁기관 분배량 시뮬레이션'!D57</f>
        <v>0</v>
      </c>
      <c r="J8" s="82" t="e">
        <f>'수탁기관 분배량 시뮬레이션'!M$65</f>
        <v>#DIV/0!</v>
      </c>
      <c r="K8" s="8" t="e">
        <f t="shared" ref="K8:K16" si="0">(G8/J8)</f>
        <v>#DIV/0!</v>
      </c>
      <c r="L8" s="132"/>
      <c r="M8" s="132"/>
      <c r="N8" s="132"/>
      <c r="O8" s="132"/>
      <c r="P8" s="132"/>
      <c r="Q8" s="132"/>
      <c r="R8" s="132"/>
    </row>
    <row r="9" spans="1:18">
      <c r="A9" s="132"/>
      <c r="B9" s="141"/>
      <c r="C9" s="141"/>
      <c r="D9" s="6" t="s">
        <v>5</v>
      </c>
      <c r="E9" s="77"/>
      <c r="F9" s="77"/>
      <c r="G9" s="82">
        <f>(G17/10)</f>
        <v>0</v>
      </c>
      <c r="H9" s="3">
        <f t="shared" ref="H9:H16" si="1">$H$17/10</f>
        <v>0</v>
      </c>
      <c r="I9" s="7">
        <f>'수탁기관 분배량 시뮬레이션'!D58</f>
        <v>0</v>
      </c>
      <c r="J9" s="82" t="e">
        <f>'수탁기관 분배량 시뮬레이션'!N65</f>
        <v>#DIV/0!</v>
      </c>
      <c r="K9" s="8" t="e">
        <f t="shared" si="0"/>
        <v>#DIV/0!</v>
      </c>
      <c r="L9" s="132"/>
      <c r="M9" s="132"/>
      <c r="N9" s="132"/>
      <c r="O9" s="132"/>
      <c r="P9" s="132"/>
      <c r="Q9" s="132"/>
      <c r="R9" s="132"/>
    </row>
    <row r="10" spans="1:18">
      <c r="A10" s="132"/>
      <c r="B10" s="141"/>
      <c r="C10" s="141"/>
      <c r="D10" s="6" t="s">
        <v>8</v>
      </c>
      <c r="E10" s="77"/>
      <c r="F10" s="77"/>
      <c r="G10" s="82">
        <f>(G17/10)</f>
        <v>0</v>
      </c>
      <c r="H10" s="3">
        <f t="shared" si="1"/>
        <v>0</v>
      </c>
      <c r="I10" s="7">
        <f>'수탁기관 분배량 시뮬레이션'!D59</f>
        <v>0</v>
      </c>
      <c r="J10" s="82" t="e">
        <f>'수탁기관 분배량 시뮬레이션'!O65</f>
        <v>#DIV/0!</v>
      </c>
      <c r="K10" s="8" t="e">
        <f t="shared" si="0"/>
        <v>#DIV/0!</v>
      </c>
      <c r="L10" s="132"/>
      <c r="M10" s="132"/>
      <c r="N10" s="132"/>
      <c r="O10" s="132"/>
      <c r="P10" s="132"/>
      <c r="Q10" s="132"/>
      <c r="R10" s="132"/>
    </row>
    <row r="11" spans="1:18">
      <c r="A11" s="132"/>
      <c r="B11" s="141"/>
      <c r="C11" s="141"/>
      <c r="D11" s="6" t="s">
        <v>9</v>
      </c>
      <c r="E11" s="77"/>
      <c r="F11" s="77"/>
      <c r="G11" s="82">
        <f>(G17/10)</f>
        <v>0</v>
      </c>
      <c r="H11" s="3">
        <f t="shared" si="1"/>
        <v>0</v>
      </c>
      <c r="I11" s="7">
        <f>'수탁기관 분배량 시뮬레이션'!D60</f>
        <v>0</v>
      </c>
      <c r="J11" s="82" t="e">
        <f>'수탁기관 분배량 시뮬레이션'!P65</f>
        <v>#DIV/0!</v>
      </c>
      <c r="K11" s="8" t="e">
        <f t="shared" si="0"/>
        <v>#DIV/0!</v>
      </c>
      <c r="L11" s="132"/>
      <c r="M11" s="132"/>
      <c r="N11" s="132"/>
      <c r="O11" s="132"/>
      <c r="P11" s="132"/>
      <c r="Q11" s="132"/>
      <c r="R11" s="132"/>
    </row>
    <row r="12" spans="1:18">
      <c r="A12" s="132"/>
      <c r="B12" s="141"/>
      <c r="C12" s="141"/>
      <c r="D12" s="6" t="s">
        <v>10</v>
      </c>
      <c r="E12" s="107"/>
      <c r="F12" s="77"/>
      <c r="G12" s="82">
        <f>(G17/10)</f>
        <v>0</v>
      </c>
      <c r="H12" s="3">
        <f t="shared" si="1"/>
        <v>0</v>
      </c>
      <c r="I12" s="7">
        <f>'수탁기관 분배량 시뮬레이션'!D61</f>
        <v>0</v>
      </c>
      <c r="J12" s="82" t="e">
        <f>'수탁기관 분배량 시뮬레이션'!Q65</f>
        <v>#DIV/0!</v>
      </c>
      <c r="K12" s="8" t="e">
        <f t="shared" si="0"/>
        <v>#DIV/0!</v>
      </c>
      <c r="L12" s="132"/>
      <c r="M12" s="132"/>
      <c r="N12" s="132"/>
      <c r="O12" s="132"/>
      <c r="P12" s="132"/>
      <c r="Q12" s="132"/>
      <c r="R12" s="132"/>
    </row>
    <row r="13" spans="1:18">
      <c r="A13" s="132"/>
      <c r="B13" s="141"/>
      <c r="C13" s="141"/>
      <c r="D13" s="6" t="s">
        <v>11</v>
      </c>
      <c r="E13" s="75"/>
      <c r="F13" s="77"/>
      <c r="G13" s="84">
        <f>(G17/10)</f>
        <v>0</v>
      </c>
      <c r="H13" s="3">
        <f t="shared" si="1"/>
        <v>0</v>
      </c>
      <c r="I13" s="7">
        <f>'수탁기관 분배량 시뮬레이션'!D62</f>
        <v>0</v>
      </c>
      <c r="J13" s="82" t="e">
        <f>'수탁기관 분배량 시뮬레이션'!R65</f>
        <v>#DIV/0!</v>
      </c>
      <c r="K13" s="8" t="e">
        <f t="shared" si="0"/>
        <v>#DIV/0!</v>
      </c>
      <c r="L13" s="132"/>
      <c r="M13" s="132"/>
      <c r="N13" s="132"/>
      <c r="O13" s="132"/>
      <c r="P13" s="132"/>
      <c r="Q13" s="132"/>
      <c r="R13" s="132"/>
    </row>
    <row r="14" spans="1:18">
      <c r="A14" s="132"/>
      <c r="B14" s="141"/>
      <c r="C14" s="141"/>
      <c r="D14" s="6" t="s">
        <v>12</v>
      </c>
      <c r="E14" s="75"/>
      <c r="F14" s="77"/>
      <c r="G14" s="84">
        <f>(G17/10)</f>
        <v>0</v>
      </c>
      <c r="H14" s="3">
        <f t="shared" si="1"/>
        <v>0</v>
      </c>
      <c r="I14" s="7">
        <f>'수탁기관 분배량 시뮬레이션'!D63</f>
        <v>0</v>
      </c>
      <c r="J14" s="82" t="e">
        <f>'수탁기관 분배량 시뮬레이션'!S65</f>
        <v>#DIV/0!</v>
      </c>
      <c r="K14" s="8" t="e">
        <f t="shared" si="0"/>
        <v>#DIV/0!</v>
      </c>
      <c r="L14" s="132"/>
      <c r="M14" s="132"/>
      <c r="N14" s="132"/>
      <c r="O14" s="132"/>
      <c r="P14" s="132"/>
      <c r="Q14" s="132"/>
      <c r="R14" s="132"/>
    </row>
    <row r="15" spans="1:18">
      <c r="A15" s="132"/>
      <c r="B15" s="141"/>
      <c r="C15" s="141"/>
      <c r="D15" s="6" t="s">
        <v>13</v>
      </c>
      <c r="E15" s="75"/>
      <c r="F15" s="77"/>
      <c r="G15" s="84">
        <f>(G17/10)</f>
        <v>0</v>
      </c>
      <c r="H15" s="3">
        <f t="shared" si="1"/>
        <v>0</v>
      </c>
      <c r="I15" s="7">
        <f>'수탁기관 분배량 시뮬레이션'!D64</f>
        <v>0</v>
      </c>
      <c r="J15" s="82" t="e">
        <f>'수탁기관 분배량 시뮬레이션'!T65</f>
        <v>#DIV/0!</v>
      </c>
      <c r="K15" s="8" t="e">
        <f t="shared" si="0"/>
        <v>#DIV/0!</v>
      </c>
      <c r="L15" s="132"/>
      <c r="M15" s="132"/>
      <c r="N15" s="132"/>
      <c r="O15" s="132"/>
      <c r="P15" s="132"/>
      <c r="Q15" s="132"/>
      <c r="R15" s="132"/>
    </row>
    <row r="16" spans="1:18">
      <c r="A16" s="132"/>
      <c r="B16" s="141"/>
      <c r="C16" s="141"/>
      <c r="D16" s="6" t="s">
        <v>6</v>
      </c>
      <c r="E16" s="75"/>
      <c r="F16" s="77"/>
      <c r="G16" s="84">
        <f>(G17/10)</f>
        <v>0</v>
      </c>
      <c r="H16" s="3">
        <f t="shared" si="1"/>
        <v>0</v>
      </c>
      <c r="I16" s="7">
        <f>'수탁기관 분배량 시뮬레이션'!D65</f>
        <v>0</v>
      </c>
      <c r="J16" s="82" t="e">
        <f>'수탁기관 분배량 시뮬레이션'!U65</f>
        <v>#DIV/0!</v>
      </c>
      <c r="K16" s="8" t="e">
        <f t="shared" si="0"/>
        <v>#DIV/0!</v>
      </c>
      <c r="L16" s="132"/>
      <c r="M16" s="132"/>
      <c r="N16" s="132"/>
      <c r="O16" s="132"/>
      <c r="P16" s="132"/>
      <c r="Q16" s="132"/>
      <c r="R16" s="132"/>
    </row>
    <row r="17" spans="1:18">
      <c r="A17" s="132"/>
      <c r="B17" s="141"/>
      <c r="C17" s="141"/>
      <c r="D17" s="9" t="s">
        <v>7</v>
      </c>
      <c r="E17" s="78">
        <f>SUM(E7:E16)</f>
        <v>0</v>
      </c>
      <c r="F17" s="78">
        <f>SUM(F7:F16)</f>
        <v>0</v>
      </c>
      <c r="G17" s="83">
        <f>'수탁기관 분배량 시뮬레이션'!$D$15</f>
        <v>0</v>
      </c>
      <c r="H17" s="10">
        <f>'수탁기관 분배량 시뮬레이션'!$D$13/100000000</f>
        <v>0</v>
      </c>
      <c r="I17" s="1"/>
      <c r="J17" s="83" t="e">
        <f>SUM(J7:J16)</f>
        <v>#DIV/0!</v>
      </c>
      <c r="K17" s="11"/>
      <c r="L17" s="132"/>
      <c r="M17" s="132"/>
      <c r="N17" s="132"/>
      <c r="O17" s="132"/>
      <c r="P17" s="132"/>
      <c r="Q17" s="132"/>
      <c r="R17" s="132"/>
    </row>
    <row r="18" spans="1:18">
      <c r="A18" s="132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2"/>
      <c r="M18" s="132"/>
      <c r="N18" s="132"/>
      <c r="O18" s="132"/>
      <c r="P18" s="132"/>
      <c r="Q18" s="132"/>
      <c r="R18" s="132"/>
    </row>
    <row r="19" spans="1:18">
      <c r="A19" s="132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</row>
    <row r="20" spans="1:18">
      <c r="A20" s="132"/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</row>
    <row r="21" spans="1:18">
      <c r="A21" s="132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</row>
    <row r="22" spans="1:18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</row>
    <row r="23" spans="1:18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</row>
    <row r="24" spans="1:18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</row>
    <row r="25" spans="1:18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</row>
    <row r="26" spans="1:18">
      <c r="A26" s="132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</row>
    <row r="27" spans="1:18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</row>
    <row r="28" spans="1:18">
      <c r="A28" s="132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</row>
    <row r="29" spans="1:18">
      <c r="A29" s="132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</row>
    <row r="30" spans="1:18">
      <c r="A30" s="132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</row>
    <row r="31" spans="1:18">
      <c r="A31" s="132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</row>
    <row r="32" spans="1:18">
      <c r="A32" s="132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</row>
    <row r="33" spans="1:18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</row>
    <row r="34" spans="1:18">
      <c r="A34" s="132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</row>
    <row r="35" spans="1:18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</row>
    <row r="36" spans="1:18">
      <c r="A36" s="132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</row>
    <row r="37" spans="1:18">
      <c r="A37" s="132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</row>
    <row r="38" spans="1:18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</row>
    <row r="39" spans="1:18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</row>
    <row r="40" spans="1:18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</row>
    <row r="41" spans="1:18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</row>
    <row r="42" spans="1:18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</row>
    <row r="43" spans="1:18">
      <c r="A43" s="132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</row>
    <row r="44" spans="1:18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</row>
    <row r="45" spans="1:18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</row>
    <row r="46" spans="1:18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</row>
    <row r="47" spans="1:18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</row>
    <row r="48" spans="1:18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</row>
    <row r="49" spans="1:18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</row>
    <row r="50" spans="1:18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</row>
  </sheetData>
  <sheetProtection password="F8E9" sheet="1" formatCells="0" selectLockedCells="1"/>
  <mergeCells count="13">
    <mergeCell ref="B18:K50"/>
    <mergeCell ref="L1:R50"/>
    <mergeCell ref="A1:A50"/>
    <mergeCell ref="B1:K2"/>
    <mergeCell ref="B3:C17"/>
    <mergeCell ref="D3:D5"/>
    <mergeCell ref="E3:E5"/>
    <mergeCell ref="F3:F5"/>
    <mergeCell ref="G3:G5"/>
    <mergeCell ref="H3:H5"/>
    <mergeCell ref="I3:I5"/>
    <mergeCell ref="J3:J5"/>
    <mergeCell ref="K3:K5"/>
  </mergeCells>
  <phoneticPr fontId="2" type="noConversion"/>
  <pageMargins left="0.7" right="0.7" top="0.75" bottom="0.75" header="0.3" footer="0.3"/>
  <pageSetup paperSize="9" scale="54" orientation="landscape" verticalDpi="0" r:id="rId1"/>
  <headerFooter>
    <oddHeader>&amp;C
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50"/>
  <sheetViews>
    <sheetView showGridLines="0" zoomScale="85" zoomScaleNormal="85" zoomScalePageLayoutView="70" workbookViewId="0">
      <selection activeCell="E7" sqref="E7"/>
    </sheetView>
  </sheetViews>
  <sheetFormatPr defaultRowHeight="16.5"/>
  <cols>
    <col min="1" max="4" width="9" style="98"/>
    <col min="5" max="5" width="20.625" style="98" customWidth="1"/>
    <col min="6" max="6" width="23.625" style="98" customWidth="1"/>
    <col min="7" max="7" width="20.625" style="98" customWidth="1"/>
    <col min="8" max="8" width="15.625" style="98" customWidth="1"/>
    <col min="9" max="9" width="20.625" style="98" customWidth="1"/>
    <col min="10" max="10" width="11" style="98" bestFit="1" customWidth="1"/>
    <col min="11" max="20" width="10.5" style="98" bestFit="1" customWidth="1"/>
    <col min="21" max="16384" width="9" style="98"/>
  </cols>
  <sheetData>
    <row r="1" spans="1:16">
      <c r="A1" s="133"/>
      <c r="B1" s="143"/>
      <c r="C1" s="144"/>
      <c r="D1" s="144"/>
      <c r="E1" s="144"/>
      <c r="F1" s="144"/>
      <c r="G1" s="144"/>
      <c r="H1" s="144"/>
      <c r="I1" s="145"/>
      <c r="J1" s="133"/>
      <c r="K1" s="133"/>
      <c r="L1" s="133"/>
      <c r="M1" s="133"/>
      <c r="N1" s="133"/>
      <c r="O1" s="133"/>
      <c r="P1" s="133"/>
    </row>
    <row r="2" spans="1:16">
      <c r="A2" s="133"/>
      <c r="B2" s="143"/>
      <c r="C2" s="144"/>
      <c r="D2" s="144"/>
      <c r="E2" s="144"/>
      <c r="F2" s="144"/>
      <c r="G2" s="144"/>
      <c r="H2" s="144"/>
      <c r="I2" s="145"/>
      <c r="J2" s="133"/>
      <c r="K2" s="133"/>
      <c r="L2" s="133"/>
      <c r="M2" s="133"/>
      <c r="N2" s="133"/>
      <c r="O2" s="133"/>
      <c r="P2" s="133"/>
    </row>
    <row r="3" spans="1:16" ht="16.5" customHeight="1">
      <c r="A3" s="133"/>
      <c r="B3" s="146" t="s">
        <v>63</v>
      </c>
      <c r="C3" s="147"/>
      <c r="D3" s="137" t="s">
        <v>22</v>
      </c>
      <c r="E3" s="137" t="s">
        <v>0</v>
      </c>
      <c r="F3" s="137" t="s">
        <v>2</v>
      </c>
      <c r="G3" s="137" t="s">
        <v>45</v>
      </c>
      <c r="H3" s="137" t="s">
        <v>14</v>
      </c>
      <c r="I3" s="137" t="s">
        <v>170</v>
      </c>
      <c r="J3" s="133"/>
      <c r="K3" s="133"/>
      <c r="L3" s="133"/>
      <c r="M3" s="133"/>
      <c r="N3" s="133"/>
      <c r="O3" s="133"/>
      <c r="P3" s="133"/>
    </row>
    <row r="4" spans="1:16">
      <c r="A4" s="133"/>
      <c r="B4" s="147"/>
      <c r="C4" s="147"/>
      <c r="D4" s="137"/>
      <c r="E4" s="137"/>
      <c r="F4" s="137"/>
      <c r="G4" s="137"/>
      <c r="H4" s="137"/>
      <c r="I4" s="137"/>
      <c r="J4" s="133"/>
      <c r="K4" s="133"/>
      <c r="L4" s="133"/>
      <c r="M4" s="133"/>
      <c r="N4" s="133"/>
      <c r="O4" s="133"/>
      <c r="P4" s="133"/>
    </row>
    <row r="5" spans="1:16">
      <c r="A5" s="133"/>
      <c r="B5" s="147"/>
      <c r="C5" s="147"/>
      <c r="D5" s="137"/>
      <c r="E5" s="137"/>
      <c r="F5" s="137"/>
      <c r="G5" s="137"/>
      <c r="H5" s="137"/>
      <c r="I5" s="137"/>
      <c r="J5" s="133"/>
      <c r="K5" s="133"/>
      <c r="L5" s="133"/>
      <c r="M5" s="133"/>
      <c r="N5" s="133"/>
      <c r="O5" s="133"/>
      <c r="P5" s="133"/>
    </row>
    <row r="6" spans="1:16">
      <c r="A6" s="133"/>
      <c r="B6" s="147"/>
      <c r="C6" s="147"/>
      <c r="D6" s="4"/>
      <c r="E6" s="5" t="s">
        <v>1</v>
      </c>
      <c r="F6" s="5" t="s">
        <v>1</v>
      </c>
      <c r="G6" s="5" t="s">
        <v>24</v>
      </c>
      <c r="H6" s="5" t="s">
        <v>44</v>
      </c>
      <c r="I6" s="96" t="s">
        <v>1</v>
      </c>
      <c r="J6" s="133"/>
      <c r="K6" s="133"/>
      <c r="L6" s="133"/>
      <c r="M6" s="133"/>
      <c r="N6" s="133"/>
      <c r="O6" s="133"/>
      <c r="P6" s="133"/>
    </row>
    <row r="7" spans="1:16">
      <c r="A7" s="133"/>
      <c r="B7" s="147"/>
      <c r="C7" s="147"/>
      <c r="D7" s="6" t="s">
        <v>3</v>
      </c>
      <c r="E7" s="77"/>
      <c r="F7" s="77"/>
      <c r="G7" s="82">
        <f>(G17/10)</f>
        <v>0</v>
      </c>
      <c r="H7" s="142" t="e">
        <f>'수탁기관 분배량 시뮬레이션'!$D$13/'수탁기관 분배량 시뮬레이션'!$D$12</f>
        <v>#DIV/0!</v>
      </c>
      <c r="I7" s="82" t="e">
        <f>$G7*$H$7</f>
        <v>#DIV/0!</v>
      </c>
      <c r="J7" s="133"/>
      <c r="K7" s="133"/>
      <c r="L7" s="133"/>
      <c r="M7" s="133"/>
      <c r="N7" s="133"/>
      <c r="O7" s="133"/>
      <c r="P7" s="133"/>
    </row>
    <row r="8" spans="1:16">
      <c r="A8" s="133"/>
      <c r="B8" s="147"/>
      <c r="C8" s="147"/>
      <c r="D8" s="6" t="s">
        <v>4</v>
      </c>
      <c r="E8" s="77"/>
      <c r="F8" s="77"/>
      <c r="G8" s="82">
        <f>(G17/10)</f>
        <v>0</v>
      </c>
      <c r="H8" s="142"/>
      <c r="I8" s="82" t="e">
        <f t="shared" ref="I8:I16" si="0">$G8*$H$7</f>
        <v>#DIV/0!</v>
      </c>
      <c r="J8" s="133"/>
      <c r="K8" s="133"/>
      <c r="L8" s="133"/>
      <c r="M8" s="133"/>
      <c r="N8" s="133"/>
      <c r="O8" s="133"/>
      <c r="P8" s="133"/>
    </row>
    <row r="9" spans="1:16">
      <c r="A9" s="133"/>
      <c r="B9" s="147"/>
      <c r="C9" s="147"/>
      <c r="D9" s="6" t="s">
        <v>5</v>
      </c>
      <c r="E9" s="77"/>
      <c r="F9" s="77"/>
      <c r="G9" s="82">
        <f>(G17/10)</f>
        <v>0</v>
      </c>
      <c r="H9" s="142"/>
      <c r="I9" s="82" t="e">
        <f t="shared" si="0"/>
        <v>#DIV/0!</v>
      </c>
      <c r="J9" s="133"/>
      <c r="K9" s="133"/>
      <c r="L9" s="133"/>
      <c r="M9" s="133"/>
      <c r="N9" s="133"/>
      <c r="O9" s="133"/>
      <c r="P9" s="133"/>
    </row>
    <row r="10" spans="1:16">
      <c r="A10" s="133"/>
      <c r="B10" s="147"/>
      <c r="C10" s="147"/>
      <c r="D10" s="6" t="s">
        <v>8</v>
      </c>
      <c r="E10" s="77"/>
      <c r="F10" s="77"/>
      <c r="G10" s="82">
        <f>(G17/10)</f>
        <v>0</v>
      </c>
      <c r="H10" s="142"/>
      <c r="I10" s="82" t="e">
        <f t="shared" si="0"/>
        <v>#DIV/0!</v>
      </c>
      <c r="J10" s="133"/>
      <c r="K10" s="133"/>
      <c r="L10" s="133"/>
      <c r="M10" s="133"/>
      <c r="N10" s="133"/>
      <c r="O10" s="133"/>
      <c r="P10" s="133"/>
    </row>
    <row r="11" spans="1:16">
      <c r="A11" s="133"/>
      <c r="B11" s="147"/>
      <c r="C11" s="147"/>
      <c r="D11" s="6" t="s">
        <v>9</v>
      </c>
      <c r="E11" s="77"/>
      <c r="F11" s="77"/>
      <c r="G11" s="82">
        <f>(G17/10)</f>
        <v>0</v>
      </c>
      <c r="H11" s="142"/>
      <c r="I11" s="82" t="e">
        <f t="shared" si="0"/>
        <v>#DIV/0!</v>
      </c>
      <c r="J11" s="133"/>
      <c r="K11" s="133"/>
      <c r="L11" s="133"/>
      <c r="M11" s="133"/>
      <c r="N11" s="133"/>
      <c r="O11" s="133"/>
      <c r="P11" s="133"/>
    </row>
    <row r="12" spans="1:16">
      <c r="A12" s="133"/>
      <c r="B12" s="147"/>
      <c r="C12" s="147"/>
      <c r="D12" s="6" t="s">
        <v>10</v>
      </c>
      <c r="E12" s="77"/>
      <c r="F12" s="77"/>
      <c r="G12" s="82">
        <f>(G17/10)</f>
        <v>0</v>
      </c>
      <c r="H12" s="142"/>
      <c r="I12" s="82" t="e">
        <f t="shared" si="0"/>
        <v>#DIV/0!</v>
      </c>
      <c r="J12" s="133"/>
      <c r="K12" s="133"/>
      <c r="L12" s="133"/>
      <c r="M12" s="133"/>
      <c r="N12" s="133"/>
      <c r="O12" s="133"/>
      <c r="P12" s="133"/>
    </row>
    <row r="13" spans="1:16">
      <c r="A13" s="133"/>
      <c r="B13" s="147"/>
      <c r="C13" s="147"/>
      <c r="D13" s="6" t="s">
        <v>11</v>
      </c>
      <c r="E13" s="75"/>
      <c r="F13" s="75"/>
      <c r="G13" s="84">
        <f>(G17/10)</f>
        <v>0</v>
      </c>
      <c r="H13" s="142"/>
      <c r="I13" s="82" t="e">
        <f t="shared" si="0"/>
        <v>#DIV/0!</v>
      </c>
      <c r="J13" s="133"/>
      <c r="K13" s="133"/>
      <c r="L13" s="133"/>
      <c r="M13" s="133"/>
      <c r="N13" s="133"/>
      <c r="O13" s="133"/>
      <c r="P13" s="133"/>
    </row>
    <row r="14" spans="1:16">
      <c r="A14" s="133"/>
      <c r="B14" s="147"/>
      <c r="C14" s="147"/>
      <c r="D14" s="6" t="s">
        <v>12</v>
      </c>
      <c r="E14" s="75"/>
      <c r="F14" s="75"/>
      <c r="G14" s="84">
        <f>(G17/10)</f>
        <v>0</v>
      </c>
      <c r="H14" s="142"/>
      <c r="I14" s="82" t="e">
        <f t="shared" si="0"/>
        <v>#DIV/0!</v>
      </c>
      <c r="J14" s="133"/>
      <c r="K14" s="133"/>
      <c r="L14" s="133"/>
      <c r="M14" s="133"/>
      <c r="N14" s="133"/>
      <c r="O14" s="133"/>
      <c r="P14" s="133"/>
    </row>
    <row r="15" spans="1:16">
      <c r="A15" s="133"/>
      <c r="B15" s="147"/>
      <c r="C15" s="147"/>
      <c r="D15" s="6" t="s">
        <v>13</v>
      </c>
      <c r="E15" s="75"/>
      <c r="F15" s="75"/>
      <c r="G15" s="84">
        <f>(G17/10)</f>
        <v>0</v>
      </c>
      <c r="H15" s="142"/>
      <c r="I15" s="82" t="e">
        <f t="shared" si="0"/>
        <v>#DIV/0!</v>
      </c>
      <c r="J15" s="133"/>
      <c r="K15" s="133"/>
      <c r="L15" s="133"/>
      <c r="M15" s="133"/>
      <c r="N15" s="133"/>
      <c r="O15" s="133"/>
      <c r="P15" s="133"/>
    </row>
    <row r="16" spans="1:16">
      <c r="A16" s="133"/>
      <c r="B16" s="147"/>
      <c r="C16" s="147"/>
      <c r="D16" s="6" t="s">
        <v>6</v>
      </c>
      <c r="E16" s="75"/>
      <c r="F16" s="75"/>
      <c r="G16" s="84">
        <f>(G17/10)</f>
        <v>0</v>
      </c>
      <c r="H16" s="142"/>
      <c r="I16" s="82" t="e">
        <f t="shared" si="0"/>
        <v>#DIV/0!</v>
      </c>
      <c r="J16" s="133"/>
      <c r="K16" s="133"/>
      <c r="L16" s="133"/>
      <c r="M16" s="133"/>
      <c r="N16" s="133"/>
      <c r="O16" s="133"/>
      <c r="P16" s="133"/>
    </row>
    <row r="17" spans="1:16">
      <c r="A17" s="133"/>
      <c r="B17" s="147"/>
      <c r="C17" s="147"/>
      <c r="D17" s="9" t="s">
        <v>7</v>
      </c>
      <c r="E17" s="76">
        <f>SUM(E7:E16)</f>
        <v>0</v>
      </c>
      <c r="F17" s="76">
        <f>SUM(F7:F16)</f>
        <v>0</v>
      </c>
      <c r="G17" s="83">
        <f>'수탁기관 분배량 시뮬레이션'!$D$15</f>
        <v>0</v>
      </c>
      <c r="H17" s="10"/>
      <c r="I17" s="83" t="e">
        <f>SUM(I7:I16)</f>
        <v>#DIV/0!</v>
      </c>
      <c r="J17" s="133"/>
      <c r="K17" s="133"/>
      <c r="L17" s="133"/>
      <c r="M17" s="133"/>
      <c r="N17" s="133"/>
      <c r="O17" s="133"/>
      <c r="P17" s="133"/>
    </row>
    <row r="18" spans="1:16">
      <c r="A18" s="133"/>
      <c r="B18" s="143"/>
      <c r="C18" s="144"/>
      <c r="D18" s="144"/>
      <c r="E18" s="144"/>
      <c r="F18" s="144"/>
      <c r="G18" s="144"/>
      <c r="H18" s="144"/>
      <c r="I18" s="145"/>
      <c r="J18" s="133"/>
      <c r="K18" s="133"/>
      <c r="L18" s="133"/>
      <c r="M18" s="133"/>
      <c r="N18" s="133"/>
      <c r="O18" s="133"/>
      <c r="P18" s="133"/>
    </row>
    <row r="19" spans="1:16">
      <c r="A19" s="133"/>
      <c r="B19" s="143"/>
      <c r="C19" s="144"/>
      <c r="D19" s="144"/>
      <c r="E19" s="144"/>
      <c r="F19" s="144"/>
      <c r="G19" s="144"/>
      <c r="H19" s="144"/>
      <c r="I19" s="145"/>
      <c r="J19" s="133"/>
      <c r="K19" s="133"/>
      <c r="L19" s="133"/>
      <c r="M19" s="133"/>
      <c r="N19" s="133"/>
      <c r="O19" s="133"/>
      <c r="P19" s="133"/>
    </row>
    <row r="20" spans="1:16">
      <c r="A20" s="133"/>
      <c r="B20" s="143"/>
      <c r="C20" s="144"/>
      <c r="D20" s="144"/>
      <c r="E20" s="144"/>
      <c r="F20" s="144"/>
      <c r="G20" s="144"/>
      <c r="H20" s="144"/>
      <c r="I20" s="145"/>
      <c r="J20" s="133"/>
      <c r="K20" s="133"/>
      <c r="L20" s="133"/>
      <c r="M20" s="133"/>
      <c r="N20" s="133"/>
      <c r="O20" s="133"/>
      <c r="P20" s="133"/>
    </row>
    <row r="21" spans="1:16">
      <c r="A21" s="133"/>
      <c r="B21" s="146" t="s">
        <v>64</v>
      </c>
      <c r="C21" s="147"/>
      <c r="D21" s="137" t="s">
        <v>22</v>
      </c>
      <c r="E21" s="137" t="s">
        <v>0</v>
      </c>
      <c r="F21" s="137" t="s">
        <v>51</v>
      </c>
      <c r="G21" s="137" t="s">
        <v>52</v>
      </c>
      <c r="H21" s="137" t="s">
        <v>14</v>
      </c>
      <c r="I21" s="137" t="s">
        <v>171</v>
      </c>
      <c r="J21" s="133"/>
      <c r="K21" s="133"/>
      <c r="L21" s="133"/>
      <c r="M21" s="133"/>
      <c r="N21" s="133"/>
      <c r="O21" s="133"/>
      <c r="P21" s="133"/>
    </row>
    <row r="22" spans="1:16">
      <c r="A22" s="133"/>
      <c r="B22" s="147"/>
      <c r="C22" s="147"/>
      <c r="D22" s="137"/>
      <c r="E22" s="137"/>
      <c r="F22" s="137"/>
      <c r="G22" s="137"/>
      <c r="H22" s="137"/>
      <c r="I22" s="137"/>
      <c r="J22" s="133"/>
      <c r="K22" s="133"/>
      <c r="L22" s="133"/>
      <c r="M22" s="133"/>
      <c r="N22" s="133"/>
      <c r="O22" s="133"/>
      <c r="P22" s="133"/>
    </row>
    <row r="23" spans="1:16">
      <c r="A23" s="133"/>
      <c r="B23" s="147"/>
      <c r="C23" s="147"/>
      <c r="D23" s="137"/>
      <c r="E23" s="137"/>
      <c r="F23" s="137"/>
      <c r="G23" s="137"/>
      <c r="H23" s="137"/>
      <c r="I23" s="137"/>
      <c r="J23" s="133"/>
      <c r="K23" s="133"/>
      <c r="L23" s="133"/>
      <c r="M23" s="133"/>
      <c r="N23" s="133"/>
      <c r="O23" s="133"/>
      <c r="P23" s="133"/>
    </row>
    <row r="24" spans="1:16">
      <c r="A24" s="133"/>
      <c r="B24" s="147"/>
      <c r="C24" s="147"/>
      <c r="D24" s="4"/>
      <c r="E24" s="5" t="s">
        <v>1</v>
      </c>
      <c r="F24" s="5" t="s">
        <v>1</v>
      </c>
      <c r="G24" s="5" t="s">
        <v>24</v>
      </c>
      <c r="H24" s="5" t="s">
        <v>44</v>
      </c>
      <c r="I24" s="96" t="s">
        <v>1</v>
      </c>
      <c r="J24" s="133"/>
      <c r="K24" s="133"/>
      <c r="L24" s="133"/>
      <c r="M24" s="133"/>
      <c r="N24" s="133"/>
      <c r="O24" s="133"/>
      <c r="P24" s="133"/>
    </row>
    <row r="25" spans="1:16">
      <c r="A25" s="133"/>
      <c r="B25" s="147"/>
      <c r="C25" s="147"/>
      <c r="D25" s="6" t="s">
        <v>3</v>
      </c>
      <c r="E25" s="77"/>
      <c r="F25" s="77"/>
      <c r="G25" s="82">
        <f>'수탁기관 분배량 시뮬레이션'!D83</f>
        <v>0</v>
      </c>
      <c r="H25" s="142" t="e">
        <f>'수탁기관 분배량 시뮬레이션'!$D$13/'수탁기관 분배량 시뮬레이션'!$D$12</f>
        <v>#DIV/0!</v>
      </c>
      <c r="I25" s="82" t="e">
        <f>$G25*$H$25</f>
        <v>#DIV/0!</v>
      </c>
      <c r="J25" s="133"/>
      <c r="K25" s="133"/>
      <c r="L25" s="133"/>
      <c r="M25" s="133"/>
      <c r="N25" s="133"/>
      <c r="O25" s="133"/>
      <c r="P25" s="133"/>
    </row>
    <row r="26" spans="1:16">
      <c r="A26" s="133"/>
      <c r="B26" s="147"/>
      <c r="C26" s="147"/>
      <c r="D26" s="6" t="s">
        <v>4</v>
      </c>
      <c r="E26" s="77"/>
      <c r="F26" s="77"/>
      <c r="G26" s="82">
        <f>'수탁기관 분배량 시뮬레이션'!D84</f>
        <v>0</v>
      </c>
      <c r="H26" s="142"/>
      <c r="I26" s="82" t="e">
        <f t="shared" ref="I26:I34" si="1">$G26*$H$25</f>
        <v>#DIV/0!</v>
      </c>
      <c r="J26" s="133"/>
      <c r="K26" s="133"/>
      <c r="L26" s="133"/>
      <c r="M26" s="133"/>
      <c r="N26" s="133"/>
      <c r="O26" s="133"/>
      <c r="P26" s="133"/>
    </row>
    <row r="27" spans="1:16">
      <c r="A27" s="133"/>
      <c r="B27" s="147"/>
      <c r="C27" s="147"/>
      <c r="D27" s="6" t="s">
        <v>5</v>
      </c>
      <c r="E27" s="77"/>
      <c r="F27" s="77"/>
      <c r="G27" s="82">
        <f>'수탁기관 분배량 시뮬레이션'!D85</f>
        <v>0</v>
      </c>
      <c r="H27" s="142"/>
      <c r="I27" s="82" t="e">
        <f t="shared" si="1"/>
        <v>#DIV/0!</v>
      </c>
      <c r="J27" s="133"/>
      <c r="K27" s="133"/>
      <c r="L27" s="133"/>
      <c r="M27" s="133"/>
      <c r="N27" s="133"/>
      <c r="O27" s="133"/>
      <c r="P27" s="133"/>
    </row>
    <row r="28" spans="1:16">
      <c r="A28" s="133"/>
      <c r="B28" s="147"/>
      <c r="C28" s="147"/>
      <c r="D28" s="6" t="s">
        <v>8</v>
      </c>
      <c r="E28" s="77"/>
      <c r="F28" s="77"/>
      <c r="G28" s="82">
        <f>'수탁기관 분배량 시뮬레이션'!D86</f>
        <v>0</v>
      </c>
      <c r="H28" s="142"/>
      <c r="I28" s="82" t="e">
        <f t="shared" si="1"/>
        <v>#DIV/0!</v>
      </c>
      <c r="J28" s="133"/>
      <c r="K28" s="133"/>
      <c r="L28" s="133"/>
      <c r="M28" s="133"/>
      <c r="N28" s="133"/>
      <c r="O28" s="133"/>
      <c r="P28" s="133"/>
    </row>
    <row r="29" spans="1:16">
      <c r="A29" s="133"/>
      <c r="B29" s="147"/>
      <c r="C29" s="147"/>
      <c r="D29" s="6" t="s">
        <v>9</v>
      </c>
      <c r="E29" s="77"/>
      <c r="F29" s="77"/>
      <c r="G29" s="82">
        <f>'수탁기관 분배량 시뮬레이션'!D87</f>
        <v>0</v>
      </c>
      <c r="H29" s="142"/>
      <c r="I29" s="82" t="e">
        <f t="shared" si="1"/>
        <v>#DIV/0!</v>
      </c>
      <c r="J29" s="133"/>
      <c r="K29" s="133"/>
      <c r="L29" s="133"/>
      <c r="M29" s="133"/>
      <c r="N29" s="133"/>
      <c r="O29" s="133"/>
      <c r="P29" s="133"/>
    </row>
    <row r="30" spans="1:16">
      <c r="A30" s="133"/>
      <c r="B30" s="147"/>
      <c r="C30" s="147"/>
      <c r="D30" s="6" t="s">
        <v>10</v>
      </c>
      <c r="E30" s="77"/>
      <c r="F30" s="77"/>
      <c r="G30" s="82">
        <f>'수탁기관 분배량 시뮬레이션'!D88</f>
        <v>0</v>
      </c>
      <c r="H30" s="142"/>
      <c r="I30" s="82" t="e">
        <f t="shared" si="1"/>
        <v>#DIV/0!</v>
      </c>
      <c r="J30" s="133"/>
      <c r="K30" s="133"/>
      <c r="L30" s="133"/>
      <c r="M30" s="133"/>
      <c r="N30" s="133"/>
      <c r="O30" s="133"/>
      <c r="P30" s="133"/>
    </row>
    <row r="31" spans="1:16">
      <c r="A31" s="133"/>
      <c r="B31" s="147"/>
      <c r="C31" s="147"/>
      <c r="D31" s="6" t="s">
        <v>11</v>
      </c>
      <c r="E31" s="75"/>
      <c r="F31" s="75"/>
      <c r="G31" s="84">
        <f>'수탁기관 분배량 시뮬레이션'!D89</f>
        <v>0</v>
      </c>
      <c r="H31" s="142"/>
      <c r="I31" s="82" t="e">
        <f t="shared" si="1"/>
        <v>#DIV/0!</v>
      </c>
      <c r="J31" s="133"/>
      <c r="K31" s="133"/>
      <c r="L31" s="133"/>
      <c r="M31" s="133"/>
      <c r="N31" s="133"/>
      <c r="O31" s="133"/>
      <c r="P31" s="133"/>
    </row>
    <row r="32" spans="1:16">
      <c r="A32" s="133"/>
      <c r="B32" s="147"/>
      <c r="C32" s="147"/>
      <c r="D32" s="6" t="s">
        <v>12</v>
      </c>
      <c r="E32" s="75"/>
      <c r="F32" s="75"/>
      <c r="G32" s="84">
        <f>'수탁기관 분배량 시뮬레이션'!D90</f>
        <v>0</v>
      </c>
      <c r="H32" s="142"/>
      <c r="I32" s="82" t="e">
        <f t="shared" si="1"/>
        <v>#DIV/0!</v>
      </c>
      <c r="J32" s="133"/>
      <c r="K32" s="133"/>
      <c r="L32" s="133"/>
      <c r="M32" s="133"/>
      <c r="N32" s="133"/>
      <c r="O32" s="133"/>
      <c r="P32" s="133"/>
    </row>
    <row r="33" spans="1:16">
      <c r="A33" s="133"/>
      <c r="B33" s="147"/>
      <c r="C33" s="147"/>
      <c r="D33" s="6" t="s">
        <v>13</v>
      </c>
      <c r="E33" s="75"/>
      <c r="F33" s="75"/>
      <c r="G33" s="84">
        <f>'수탁기관 분배량 시뮬레이션'!D91</f>
        <v>0</v>
      </c>
      <c r="H33" s="142"/>
      <c r="I33" s="82" t="e">
        <f t="shared" si="1"/>
        <v>#DIV/0!</v>
      </c>
      <c r="J33" s="133"/>
      <c r="K33" s="133"/>
      <c r="L33" s="133"/>
      <c r="M33" s="133"/>
      <c r="N33" s="133"/>
      <c r="O33" s="133"/>
      <c r="P33" s="133"/>
    </row>
    <row r="34" spans="1:16">
      <c r="A34" s="133"/>
      <c r="B34" s="147"/>
      <c r="C34" s="147"/>
      <c r="D34" s="6" t="s">
        <v>6</v>
      </c>
      <c r="E34" s="75"/>
      <c r="F34" s="75"/>
      <c r="G34" s="84">
        <f>'수탁기관 분배량 시뮬레이션'!D92</f>
        <v>0</v>
      </c>
      <c r="H34" s="142"/>
      <c r="I34" s="82" t="e">
        <f t="shared" si="1"/>
        <v>#DIV/0!</v>
      </c>
      <c r="J34" s="133"/>
      <c r="K34" s="133"/>
      <c r="L34" s="133"/>
      <c r="M34" s="133"/>
      <c r="N34" s="133"/>
      <c r="O34" s="133"/>
      <c r="P34" s="133"/>
    </row>
    <row r="35" spans="1:16">
      <c r="A35" s="133"/>
      <c r="B35" s="147"/>
      <c r="C35" s="147"/>
      <c r="D35" s="9" t="s">
        <v>7</v>
      </c>
      <c r="E35" s="76">
        <f>SUM(E25:E34)</f>
        <v>0</v>
      </c>
      <c r="F35" s="76">
        <f>SUM(F25:F34)</f>
        <v>0</v>
      </c>
      <c r="G35" s="83">
        <f>SUM(G25:G34)</f>
        <v>0</v>
      </c>
      <c r="H35" s="10"/>
      <c r="I35" s="83" t="e">
        <f>SUM(I25:I34)</f>
        <v>#DIV/0!</v>
      </c>
      <c r="J35" s="133"/>
      <c r="K35" s="133"/>
      <c r="L35" s="133"/>
      <c r="M35" s="133"/>
      <c r="N35" s="133"/>
      <c r="O35" s="133"/>
      <c r="P35" s="133"/>
    </row>
    <row r="36" spans="1:16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</row>
    <row r="37" spans="1:16">
      <c r="A37" s="133"/>
      <c r="B37" s="132"/>
      <c r="C37" s="132"/>
      <c r="D37" s="132"/>
      <c r="E37" s="132"/>
      <c r="F37" s="132"/>
      <c r="G37" s="132"/>
      <c r="H37" s="132"/>
      <c r="I37" s="132"/>
      <c r="J37" s="133"/>
      <c r="K37" s="133"/>
      <c r="L37" s="133"/>
      <c r="M37" s="133"/>
      <c r="N37" s="133"/>
      <c r="O37" s="133"/>
      <c r="P37" s="133"/>
    </row>
    <row r="38" spans="1:16">
      <c r="A38" s="133"/>
      <c r="B38" s="132"/>
      <c r="C38" s="132"/>
      <c r="D38" s="132"/>
      <c r="E38" s="132"/>
      <c r="F38" s="132"/>
      <c r="G38" s="132"/>
      <c r="H38" s="132"/>
      <c r="I38" s="132"/>
      <c r="J38" s="133"/>
      <c r="K38" s="133"/>
      <c r="L38" s="133"/>
      <c r="M38" s="133"/>
      <c r="N38" s="133"/>
      <c r="O38" s="133"/>
      <c r="P38" s="133"/>
    </row>
    <row r="39" spans="1:16">
      <c r="A39" s="133"/>
      <c r="B39" s="132"/>
      <c r="C39" s="132"/>
      <c r="D39" s="132"/>
      <c r="E39" s="132"/>
      <c r="F39" s="132"/>
      <c r="G39" s="132"/>
      <c r="H39" s="132"/>
      <c r="I39" s="132"/>
      <c r="J39" s="133"/>
      <c r="K39" s="133"/>
      <c r="L39" s="133"/>
      <c r="M39" s="133"/>
      <c r="N39" s="133"/>
      <c r="O39" s="133"/>
      <c r="P39" s="133"/>
    </row>
    <row r="40" spans="1:16">
      <c r="A40" s="133"/>
      <c r="B40" s="132"/>
      <c r="C40" s="132"/>
      <c r="D40" s="132"/>
      <c r="E40" s="132"/>
      <c r="F40" s="132"/>
      <c r="G40" s="132"/>
      <c r="H40" s="132"/>
      <c r="I40" s="132"/>
      <c r="J40" s="133"/>
      <c r="K40" s="133"/>
      <c r="L40" s="133"/>
      <c r="M40" s="133"/>
      <c r="N40" s="133"/>
      <c r="O40" s="133"/>
      <c r="P40" s="133"/>
    </row>
    <row r="41" spans="1:16">
      <c r="A41" s="133"/>
      <c r="B41" s="132"/>
      <c r="C41" s="132"/>
      <c r="D41" s="132"/>
      <c r="E41" s="132"/>
      <c r="F41" s="132"/>
      <c r="G41" s="132"/>
      <c r="H41" s="132"/>
      <c r="I41" s="132"/>
      <c r="J41" s="133"/>
      <c r="K41" s="133"/>
      <c r="L41" s="133"/>
      <c r="M41" s="133"/>
      <c r="N41" s="133"/>
      <c r="O41" s="133"/>
      <c r="P41" s="133"/>
    </row>
    <row r="42" spans="1:16">
      <c r="A42" s="133"/>
      <c r="B42" s="132"/>
      <c r="C42" s="132"/>
      <c r="D42" s="132"/>
      <c r="E42" s="132"/>
      <c r="F42" s="132"/>
      <c r="G42" s="132"/>
      <c r="H42" s="132"/>
      <c r="I42" s="132"/>
      <c r="J42" s="133"/>
      <c r="K42" s="133"/>
      <c r="L42" s="133"/>
      <c r="M42" s="133"/>
      <c r="N42" s="133"/>
      <c r="O42" s="133"/>
      <c r="P42" s="133"/>
    </row>
    <row r="43" spans="1:16">
      <c r="A43" s="133"/>
      <c r="B43" s="132"/>
      <c r="C43" s="132"/>
      <c r="D43" s="132"/>
      <c r="E43" s="132"/>
      <c r="F43" s="132"/>
      <c r="G43" s="132"/>
      <c r="H43" s="132"/>
      <c r="I43" s="132"/>
      <c r="J43" s="133"/>
      <c r="K43" s="133"/>
      <c r="L43" s="133"/>
      <c r="M43" s="133"/>
      <c r="N43" s="133"/>
      <c r="O43" s="133"/>
      <c r="P43" s="133"/>
    </row>
    <row r="44" spans="1:16">
      <c r="A44" s="133"/>
      <c r="B44" s="132"/>
      <c r="C44" s="132"/>
      <c r="D44" s="132"/>
      <c r="E44" s="132"/>
      <c r="F44" s="132"/>
      <c r="G44" s="132"/>
      <c r="H44" s="132"/>
      <c r="I44" s="132"/>
      <c r="J44" s="133"/>
      <c r="K44" s="133"/>
      <c r="L44" s="133"/>
      <c r="M44" s="133"/>
      <c r="N44" s="133"/>
      <c r="O44" s="133"/>
      <c r="P44" s="133"/>
    </row>
    <row r="45" spans="1:16">
      <c r="A45" s="133"/>
      <c r="B45" s="132"/>
      <c r="C45" s="132"/>
      <c r="D45" s="132"/>
      <c r="E45" s="132"/>
      <c r="F45" s="132"/>
      <c r="G45" s="132"/>
      <c r="H45" s="132"/>
      <c r="I45" s="132"/>
      <c r="J45" s="133"/>
      <c r="K45" s="133"/>
      <c r="L45" s="133"/>
      <c r="M45" s="133"/>
      <c r="N45" s="133"/>
      <c r="O45" s="133"/>
      <c r="P45" s="133"/>
    </row>
    <row r="46" spans="1:16">
      <c r="A46" s="133"/>
      <c r="B46" s="132"/>
      <c r="C46" s="132"/>
      <c r="D46" s="132"/>
      <c r="E46" s="132"/>
      <c r="F46" s="132"/>
      <c r="G46" s="132"/>
      <c r="H46" s="132"/>
      <c r="I46" s="132"/>
      <c r="J46" s="133"/>
      <c r="K46" s="133"/>
      <c r="L46" s="133"/>
      <c r="M46" s="133"/>
      <c r="N46" s="133"/>
      <c r="O46" s="133"/>
      <c r="P46" s="133"/>
    </row>
    <row r="47" spans="1:16">
      <c r="A47" s="133"/>
      <c r="B47" s="132"/>
      <c r="C47" s="132"/>
      <c r="D47" s="132"/>
      <c r="E47" s="132"/>
      <c r="F47" s="132"/>
      <c r="G47" s="132"/>
      <c r="H47" s="132"/>
      <c r="I47" s="132"/>
      <c r="J47" s="133"/>
      <c r="K47" s="133"/>
      <c r="L47" s="133"/>
      <c r="M47" s="133"/>
      <c r="N47" s="133"/>
      <c r="O47" s="133"/>
      <c r="P47" s="133"/>
    </row>
    <row r="48" spans="1:16">
      <c r="A48" s="133"/>
      <c r="B48" s="132"/>
      <c r="C48" s="132"/>
      <c r="D48" s="132"/>
      <c r="E48" s="132"/>
      <c r="F48" s="132"/>
      <c r="G48" s="132"/>
      <c r="H48" s="132"/>
      <c r="I48" s="132"/>
      <c r="J48" s="133"/>
      <c r="K48" s="133"/>
      <c r="L48" s="133"/>
      <c r="M48" s="133"/>
      <c r="N48" s="133"/>
      <c r="O48" s="133"/>
      <c r="P48" s="133"/>
    </row>
    <row r="49" spans="1:16">
      <c r="A49" s="133"/>
      <c r="B49" s="132"/>
      <c r="C49" s="132"/>
      <c r="D49" s="132"/>
      <c r="E49" s="132"/>
      <c r="F49" s="132"/>
      <c r="G49" s="132"/>
      <c r="H49" s="132"/>
      <c r="I49" s="132"/>
      <c r="J49" s="133"/>
      <c r="K49" s="133"/>
      <c r="L49" s="133"/>
      <c r="M49" s="133"/>
      <c r="N49" s="133"/>
      <c r="O49" s="133"/>
      <c r="P49" s="133"/>
    </row>
    <row r="50" spans="1:16">
      <c r="A50" s="133"/>
      <c r="B50" s="132"/>
      <c r="C50" s="132"/>
      <c r="D50" s="132"/>
      <c r="E50" s="132"/>
      <c r="F50" s="132"/>
      <c r="G50" s="132"/>
      <c r="H50" s="132"/>
      <c r="I50" s="132"/>
      <c r="J50" s="133"/>
      <c r="K50" s="133"/>
      <c r="L50" s="133"/>
      <c r="M50" s="133"/>
      <c r="N50" s="133"/>
      <c r="O50" s="133"/>
      <c r="P50" s="133"/>
    </row>
  </sheetData>
  <sheetProtection password="F8E9" sheet="1" objects="1" scenarios="1"/>
  <mergeCells count="21">
    <mergeCell ref="A1:A50"/>
    <mergeCell ref="H7:H16"/>
    <mergeCell ref="B21:C35"/>
    <mergeCell ref="D21:D23"/>
    <mergeCell ref="E21:E23"/>
    <mergeCell ref="F21:F23"/>
    <mergeCell ref="G21:G23"/>
    <mergeCell ref="H21:H23"/>
    <mergeCell ref="B1:I2"/>
    <mergeCell ref="B3:C17"/>
    <mergeCell ref="D3:D5"/>
    <mergeCell ref="E3:E5"/>
    <mergeCell ref="F3:F5"/>
    <mergeCell ref="G3:G5"/>
    <mergeCell ref="H3:H5"/>
    <mergeCell ref="I3:I5"/>
    <mergeCell ref="I21:I23"/>
    <mergeCell ref="H25:H34"/>
    <mergeCell ref="B36:I50"/>
    <mergeCell ref="B18:I20"/>
    <mergeCell ref="J1:P50"/>
  </mergeCells>
  <phoneticPr fontId="2" type="noConversion"/>
  <pageMargins left="0.7" right="0.7" top="0.75" bottom="0.75" header="0.3" footer="0.3"/>
  <pageSetup paperSize="9" scale="57" orientation="landscape" verticalDpi="0" r:id="rId1"/>
  <headerFooter>
    <oddHeader>&amp;C
&amp;G</oddHeader>
  </headerFooter>
  <ignoredErrors>
    <ignoredError sqref="E35:F35" unlockedFormula="1"/>
  </ignoredError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AO101"/>
  <sheetViews>
    <sheetView showGridLines="0" zoomScale="85" zoomScaleNormal="85" zoomScaleSheetLayoutView="55" workbookViewId="0">
      <pane xSplit="7" ySplit="1" topLeftCell="H2" activePane="bottomRight" state="frozen"/>
      <selection activeCell="L1" sqref="L1:R50"/>
      <selection pane="topRight" activeCell="L1" sqref="L1:R50"/>
      <selection pane="bottomLeft" activeCell="L1" sqref="L1:R50"/>
      <selection pane="bottomRight" activeCell="B76" sqref="B76:F78"/>
    </sheetView>
  </sheetViews>
  <sheetFormatPr defaultColWidth="9" defaultRowHeight="16.5"/>
  <cols>
    <col min="1" max="1" width="3.375" style="100" customWidth="1"/>
    <col min="2" max="2" width="9" style="100"/>
    <col min="3" max="3" width="35.25" style="100" customWidth="1"/>
    <col min="4" max="4" width="13.75" style="100" customWidth="1"/>
    <col min="5" max="5" width="13.375" style="100" customWidth="1"/>
    <col min="6" max="6" width="15.5" style="100" customWidth="1"/>
    <col min="7" max="8" width="5" style="100" customWidth="1"/>
    <col min="9" max="9" width="8.5" style="100" customWidth="1"/>
    <col min="10" max="10" width="10" style="100" customWidth="1"/>
    <col min="11" max="11" width="31" style="100" customWidth="1"/>
    <col min="12" max="21" width="15.75" style="101" customWidth="1"/>
    <col min="22" max="22" width="22.5" style="101" customWidth="1"/>
    <col min="23" max="23" width="5.375" style="101" customWidth="1"/>
    <col min="24" max="27" width="9" style="100"/>
    <col min="28" max="28" width="20.375" style="100" customWidth="1"/>
    <col min="29" max="39" width="14.5" style="100" customWidth="1"/>
    <col min="40" max="41" width="9" style="100" customWidth="1"/>
    <col min="42" max="16384" width="9" style="100"/>
  </cols>
  <sheetData>
    <row r="1" spans="1:41" s="99" customFormat="1" ht="33" customHeight="1" thickBot="1">
      <c r="A1" s="159"/>
      <c r="B1" s="167" t="s">
        <v>68</v>
      </c>
      <c r="C1" s="167"/>
      <c r="D1" s="167"/>
      <c r="E1" s="167"/>
      <c r="F1" s="95"/>
      <c r="G1" s="97"/>
      <c r="H1" s="28"/>
      <c r="I1" s="167" t="s">
        <v>69</v>
      </c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95"/>
    </row>
    <row r="2" spans="1:41" ht="20.100000000000001" customHeight="1">
      <c r="A2" s="159"/>
      <c r="B2" s="235"/>
      <c r="C2" s="235"/>
      <c r="D2" s="235"/>
      <c r="E2" s="235"/>
      <c r="F2" s="235"/>
      <c r="G2" s="359" t="s">
        <v>35</v>
      </c>
      <c r="H2" s="234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5"/>
      <c r="AN2" s="235"/>
      <c r="AO2" s="94"/>
    </row>
    <row r="3" spans="1:41" ht="20.100000000000001" customHeight="1">
      <c r="A3" s="159"/>
      <c r="B3" s="237"/>
      <c r="C3" s="237"/>
      <c r="D3" s="237"/>
      <c r="E3" s="237"/>
      <c r="F3" s="237"/>
      <c r="G3" s="360"/>
      <c r="H3" s="236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  <c r="AB3" s="237"/>
      <c r="AC3" s="237"/>
      <c r="AD3" s="237"/>
      <c r="AE3" s="237"/>
      <c r="AF3" s="237"/>
      <c r="AG3" s="237"/>
      <c r="AH3" s="237"/>
      <c r="AI3" s="237"/>
      <c r="AJ3" s="237"/>
      <c r="AK3" s="237"/>
      <c r="AL3" s="237"/>
      <c r="AM3" s="237"/>
      <c r="AN3" s="237"/>
      <c r="AO3" s="237"/>
    </row>
    <row r="4" spans="1:41" ht="20.100000000000001" customHeight="1">
      <c r="A4" s="159"/>
      <c r="B4" s="372" t="s">
        <v>60</v>
      </c>
      <c r="C4" s="373"/>
      <c r="D4" s="373"/>
      <c r="E4" s="373"/>
      <c r="F4" s="374"/>
      <c r="G4" s="360"/>
      <c r="H4" s="236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</row>
    <row r="5" spans="1:41" ht="20.100000000000001" customHeight="1">
      <c r="A5" s="159"/>
      <c r="B5" s="375"/>
      <c r="C5" s="376"/>
      <c r="D5" s="376"/>
      <c r="E5" s="376"/>
      <c r="F5" s="377"/>
      <c r="G5" s="360"/>
      <c r="H5" s="236"/>
      <c r="I5" s="237"/>
      <c r="J5" s="237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237"/>
      <c r="AC5" s="237"/>
      <c r="AD5" s="237"/>
      <c r="AE5" s="237"/>
      <c r="AF5" s="237"/>
      <c r="AG5" s="237"/>
      <c r="AH5" s="237"/>
      <c r="AI5" s="237"/>
      <c r="AJ5" s="237"/>
      <c r="AK5" s="237"/>
      <c r="AL5" s="237"/>
      <c r="AM5" s="237"/>
      <c r="AN5" s="237"/>
      <c r="AO5" s="237"/>
    </row>
    <row r="6" spans="1:41" ht="20.100000000000001" customHeight="1">
      <c r="A6" s="159"/>
      <c r="B6" s="173" t="s">
        <v>15</v>
      </c>
      <c r="C6" s="174"/>
      <c r="D6" s="417" t="s">
        <v>81</v>
      </c>
      <c r="E6" s="418"/>
      <c r="F6" s="419"/>
      <c r="G6" s="360"/>
      <c r="H6" s="236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/>
      <c r="AB6" s="237"/>
      <c r="AC6" s="237"/>
      <c r="AD6" s="237"/>
      <c r="AE6" s="237"/>
      <c r="AF6" s="237"/>
      <c r="AG6" s="237"/>
      <c r="AH6" s="237"/>
      <c r="AI6" s="237"/>
      <c r="AJ6" s="237"/>
      <c r="AK6" s="237"/>
      <c r="AL6" s="237"/>
      <c r="AM6" s="237"/>
      <c r="AN6" s="237"/>
      <c r="AO6" s="237"/>
    </row>
    <row r="7" spans="1:41" ht="20.100000000000001" customHeight="1" thickBot="1">
      <c r="A7" s="159"/>
      <c r="B7" s="175"/>
      <c r="C7" s="176"/>
      <c r="D7" s="420"/>
      <c r="E7" s="421"/>
      <c r="F7" s="422"/>
      <c r="G7" s="360"/>
      <c r="H7" s="236"/>
      <c r="I7" s="237"/>
      <c r="J7" s="237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  <c r="AA7" s="237"/>
      <c r="AB7" s="237"/>
      <c r="AC7" s="237"/>
      <c r="AD7" s="237"/>
      <c r="AE7" s="237"/>
      <c r="AF7" s="237"/>
      <c r="AG7" s="237"/>
      <c r="AH7" s="237"/>
      <c r="AI7" s="237"/>
      <c r="AJ7" s="237"/>
      <c r="AK7" s="237"/>
      <c r="AL7" s="237"/>
      <c r="AM7" s="237"/>
      <c r="AN7" s="237"/>
      <c r="AO7" s="237"/>
    </row>
    <row r="8" spans="1:41" ht="20.100000000000001" customHeight="1">
      <c r="A8" s="159"/>
      <c r="B8" s="244" t="s">
        <v>26</v>
      </c>
      <c r="C8" s="245"/>
      <c r="D8" s="411">
        <v>0</v>
      </c>
      <c r="E8" s="412"/>
      <c r="F8" s="413"/>
      <c r="G8" s="360"/>
      <c r="H8" s="236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  <c r="AA8" s="237"/>
      <c r="AB8" s="237"/>
      <c r="AC8" s="237"/>
      <c r="AD8" s="237"/>
      <c r="AE8" s="237"/>
      <c r="AF8" s="237"/>
      <c r="AG8" s="237"/>
      <c r="AH8" s="237"/>
      <c r="AI8" s="237"/>
      <c r="AJ8" s="237"/>
      <c r="AK8" s="237"/>
      <c r="AL8" s="237"/>
      <c r="AM8" s="237"/>
      <c r="AN8" s="237"/>
      <c r="AO8" s="237"/>
    </row>
    <row r="9" spans="1:41" ht="20.100000000000001" customHeight="1" thickBot="1">
      <c r="A9" s="159"/>
      <c r="B9" s="246"/>
      <c r="C9" s="247"/>
      <c r="D9" s="414"/>
      <c r="E9" s="415"/>
      <c r="F9" s="416"/>
      <c r="G9" s="360"/>
      <c r="H9" s="236"/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  <c r="AD9" s="237"/>
      <c r="AE9" s="237"/>
      <c r="AF9" s="237"/>
      <c r="AG9" s="237"/>
      <c r="AH9" s="237"/>
      <c r="AI9" s="237"/>
      <c r="AJ9" s="237"/>
      <c r="AK9" s="237"/>
      <c r="AL9" s="237"/>
      <c r="AM9" s="237"/>
      <c r="AN9" s="237"/>
      <c r="AO9" s="237"/>
    </row>
    <row r="10" spans="1:41" ht="20.100000000000001" customHeight="1" thickBot="1">
      <c r="A10" s="159"/>
      <c r="B10" s="180" t="s">
        <v>16</v>
      </c>
      <c r="C10" s="181"/>
      <c r="D10" s="408">
        <v>0</v>
      </c>
      <c r="E10" s="409"/>
      <c r="F10" s="410"/>
      <c r="G10" s="360"/>
      <c r="H10" s="236"/>
      <c r="I10" s="237"/>
      <c r="J10" s="237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  <c r="AD10" s="237"/>
      <c r="AE10" s="237"/>
      <c r="AF10" s="237"/>
      <c r="AG10" s="237"/>
      <c r="AH10" s="237"/>
      <c r="AI10" s="237"/>
      <c r="AJ10" s="237"/>
      <c r="AK10" s="237"/>
      <c r="AL10" s="237"/>
      <c r="AM10" s="237"/>
      <c r="AN10" s="237"/>
      <c r="AO10" s="237"/>
    </row>
    <row r="11" spans="1:41" ht="20.100000000000001" customHeight="1" thickBot="1">
      <c r="A11" s="159"/>
      <c r="B11" s="180" t="s">
        <v>17</v>
      </c>
      <c r="C11" s="181"/>
      <c r="D11" s="408">
        <v>0</v>
      </c>
      <c r="E11" s="409"/>
      <c r="F11" s="410"/>
      <c r="G11" s="360"/>
      <c r="H11" s="236"/>
      <c r="I11" s="237"/>
      <c r="J11" s="237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  <c r="AA11" s="237"/>
      <c r="AB11" s="237"/>
      <c r="AC11" s="237"/>
      <c r="AD11" s="237"/>
      <c r="AE11" s="237"/>
      <c r="AF11" s="237"/>
      <c r="AG11" s="237"/>
      <c r="AH11" s="237"/>
      <c r="AI11" s="237"/>
      <c r="AJ11" s="237"/>
      <c r="AK11" s="237"/>
      <c r="AL11" s="237"/>
      <c r="AM11" s="237"/>
      <c r="AN11" s="237"/>
      <c r="AO11" s="237"/>
    </row>
    <row r="12" spans="1:41" ht="20.100000000000001" customHeight="1" thickBot="1">
      <c r="A12" s="159"/>
      <c r="B12" s="248" t="s">
        <v>29</v>
      </c>
      <c r="C12" s="249"/>
      <c r="D12" s="405">
        <f>(D8+D10+D11)</f>
        <v>0</v>
      </c>
      <c r="E12" s="406"/>
      <c r="F12" s="407"/>
      <c r="G12" s="360"/>
      <c r="H12" s="236"/>
      <c r="I12" s="237"/>
      <c r="J12" s="237"/>
      <c r="K12" s="237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  <c r="AA12" s="237"/>
      <c r="AB12" s="237"/>
      <c r="AC12" s="237"/>
      <c r="AD12" s="237"/>
      <c r="AE12" s="237"/>
      <c r="AF12" s="237"/>
      <c r="AG12" s="237"/>
      <c r="AH12" s="237"/>
      <c r="AI12" s="237"/>
      <c r="AJ12" s="237"/>
      <c r="AK12" s="237"/>
      <c r="AL12" s="237"/>
      <c r="AM12" s="237"/>
      <c r="AN12" s="237"/>
      <c r="AO12" s="237"/>
    </row>
    <row r="13" spans="1:41" ht="20.100000000000001" customHeight="1" thickBot="1">
      <c r="A13" s="159"/>
      <c r="B13" s="168" t="s">
        <v>154</v>
      </c>
      <c r="C13" s="169"/>
      <c r="D13" s="402">
        <v>0</v>
      </c>
      <c r="E13" s="403"/>
      <c r="F13" s="404"/>
      <c r="G13" s="360"/>
      <c r="H13" s="236"/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7"/>
      <c r="AG13" s="237"/>
      <c r="AH13" s="237"/>
      <c r="AI13" s="237"/>
      <c r="AJ13" s="237"/>
      <c r="AK13" s="237"/>
      <c r="AL13" s="237"/>
      <c r="AM13" s="237"/>
      <c r="AN13" s="237"/>
      <c r="AO13" s="237"/>
    </row>
    <row r="14" spans="1:41" ht="20.100000000000001" customHeight="1" thickBot="1">
      <c r="A14" s="159"/>
      <c r="B14" s="168" t="s">
        <v>155</v>
      </c>
      <c r="C14" s="170"/>
      <c r="D14" s="397">
        <f>(D8*0.5)</f>
        <v>0</v>
      </c>
      <c r="E14" s="398"/>
      <c r="F14" s="399"/>
      <c r="G14" s="360"/>
      <c r="H14" s="236"/>
      <c r="I14" s="237"/>
      <c r="J14" s="237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  <c r="AA14" s="237"/>
      <c r="AB14" s="237"/>
      <c r="AC14" s="237"/>
      <c r="AD14" s="237"/>
      <c r="AE14" s="237"/>
      <c r="AF14" s="237"/>
      <c r="AG14" s="237"/>
      <c r="AH14" s="237"/>
      <c r="AI14" s="237"/>
      <c r="AJ14" s="237"/>
      <c r="AK14" s="237"/>
      <c r="AL14" s="237"/>
      <c r="AM14" s="237"/>
      <c r="AN14" s="237"/>
      <c r="AO14" s="237"/>
    </row>
    <row r="15" spans="1:41" ht="20.100000000000001" customHeight="1" thickBot="1">
      <c r="A15" s="159"/>
      <c r="B15" s="168" t="s">
        <v>93</v>
      </c>
      <c r="C15" s="169"/>
      <c r="D15" s="402">
        <v>0</v>
      </c>
      <c r="E15" s="403"/>
      <c r="F15" s="404"/>
      <c r="G15" s="360"/>
      <c r="H15" s="236"/>
      <c r="I15" s="237"/>
      <c r="J15" s="237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7"/>
      <c r="AM15" s="237"/>
      <c r="AN15" s="237"/>
      <c r="AO15" s="237"/>
    </row>
    <row r="16" spans="1:41" ht="20.100000000000001" customHeight="1" thickBot="1">
      <c r="A16" s="159"/>
      <c r="B16" s="171" t="s">
        <v>42</v>
      </c>
      <c r="C16" s="172"/>
      <c r="D16" s="446">
        <v>2025</v>
      </c>
      <c r="E16" s="447"/>
      <c r="F16" s="448"/>
      <c r="G16" s="360"/>
      <c r="H16" s="236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7"/>
      <c r="AO16" s="237"/>
    </row>
    <row r="17" spans="1:41" ht="20.100000000000001" customHeight="1">
      <c r="A17" s="159"/>
      <c r="B17" s="365"/>
      <c r="C17" s="365"/>
      <c r="D17" s="366"/>
      <c r="E17" s="366"/>
      <c r="F17" s="366"/>
      <c r="G17" s="360"/>
      <c r="H17" s="236"/>
      <c r="I17" s="237"/>
      <c r="J17" s="237"/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7"/>
      <c r="AB17" s="237"/>
      <c r="AC17" s="237"/>
      <c r="AD17" s="237"/>
      <c r="AE17" s="237"/>
      <c r="AF17" s="237"/>
      <c r="AG17" s="237"/>
      <c r="AH17" s="237"/>
      <c r="AI17" s="237"/>
      <c r="AJ17" s="237"/>
      <c r="AK17" s="237"/>
      <c r="AL17" s="237"/>
      <c r="AM17" s="237"/>
      <c r="AN17" s="237"/>
      <c r="AO17" s="237"/>
    </row>
    <row r="18" spans="1:41" ht="20.100000000000001" customHeight="1">
      <c r="A18" s="159"/>
      <c r="B18" s="366"/>
      <c r="C18" s="366"/>
      <c r="D18" s="366"/>
      <c r="E18" s="366"/>
      <c r="F18" s="366"/>
      <c r="G18" s="360"/>
      <c r="H18" s="236"/>
      <c r="I18" s="237"/>
      <c r="J18" s="237"/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  <c r="AO18" s="237"/>
    </row>
    <row r="19" spans="1:41" ht="20.100000000000001" customHeight="1">
      <c r="A19" s="159"/>
      <c r="B19" s="372" t="s">
        <v>61</v>
      </c>
      <c r="C19" s="373"/>
      <c r="D19" s="373"/>
      <c r="E19" s="373"/>
      <c r="F19" s="374"/>
      <c r="G19" s="360"/>
      <c r="H19" s="236"/>
      <c r="I19" s="237"/>
      <c r="J19" s="237"/>
      <c r="K19" s="237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7"/>
    </row>
    <row r="20" spans="1:41" ht="20.100000000000001" customHeight="1">
      <c r="A20" s="159"/>
      <c r="B20" s="375"/>
      <c r="C20" s="376"/>
      <c r="D20" s="376"/>
      <c r="E20" s="376"/>
      <c r="F20" s="377"/>
      <c r="G20" s="360"/>
      <c r="H20" s="236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  <c r="AO20" s="237"/>
    </row>
    <row r="21" spans="1:41" ht="20.100000000000001" customHeight="1">
      <c r="A21" s="159"/>
      <c r="B21" s="252" t="s">
        <v>55</v>
      </c>
      <c r="C21" s="14" t="s">
        <v>152</v>
      </c>
      <c r="D21" s="440">
        <v>9452</v>
      </c>
      <c r="E21" s="441"/>
      <c r="F21" s="442"/>
      <c r="G21" s="360"/>
      <c r="H21" s="236"/>
      <c r="I21" s="237"/>
      <c r="J21" s="237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</row>
    <row r="22" spans="1:41" ht="20.100000000000001" customHeight="1">
      <c r="A22" s="159"/>
      <c r="B22" s="253"/>
      <c r="C22" s="15" t="s">
        <v>153</v>
      </c>
      <c r="D22" s="443">
        <v>11250</v>
      </c>
      <c r="E22" s="444"/>
      <c r="F22" s="445"/>
      <c r="G22" s="360"/>
      <c r="H22" s="236"/>
      <c r="I22" s="237"/>
      <c r="J22" s="237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  <c r="AA22" s="237"/>
      <c r="AB22" s="237"/>
      <c r="AC22" s="237"/>
      <c r="AD22" s="237"/>
      <c r="AE22" s="237"/>
      <c r="AF22" s="237"/>
      <c r="AG22" s="237"/>
      <c r="AH22" s="237"/>
      <c r="AI22" s="237"/>
      <c r="AJ22" s="237"/>
      <c r="AK22" s="237"/>
      <c r="AL22" s="237"/>
      <c r="AM22" s="237"/>
      <c r="AN22" s="237"/>
      <c r="AO22" s="237"/>
    </row>
    <row r="23" spans="1:41" ht="20.100000000000001" customHeight="1">
      <c r="A23" s="159"/>
      <c r="B23" s="367"/>
      <c r="C23" s="367"/>
      <c r="D23" s="367"/>
      <c r="E23" s="367"/>
      <c r="F23" s="367"/>
      <c r="G23" s="360"/>
      <c r="H23" s="236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</row>
    <row r="24" spans="1:41" ht="20.100000000000001" customHeight="1" thickBot="1">
      <c r="A24" s="159"/>
      <c r="B24" s="182" t="s">
        <v>32</v>
      </c>
      <c r="C24" s="368" t="s">
        <v>66</v>
      </c>
      <c r="D24" s="369"/>
      <c r="E24" s="369"/>
      <c r="F24" s="370"/>
      <c r="G24" s="360"/>
      <c r="H24" s="236"/>
      <c r="I24" s="255" t="s">
        <v>30</v>
      </c>
      <c r="J24" s="177" t="s">
        <v>28</v>
      </c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9"/>
      <c r="V24" s="204" t="s">
        <v>33</v>
      </c>
      <c r="W24" s="205"/>
      <c r="X24" s="161"/>
      <c r="Y24" s="161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</row>
    <row r="25" spans="1:41" ht="20.100000000000001" customHeight="1">
      <c r="A25" s="159"/>
      <c r="B25" s="183">
        <v>2</v>
      </c>
      <c r="C25" s="236" t="s">
        <v>65</v>
      </c>
      <c r="D25" s="431">
        <v>9452</v>
      </c>
      <c r="E25" s="432"/>
      <c r="F25" s="433"/>
      <c r="G25" s="360"/>
      <c r="H25" s="236"/>
      <c r="I25" s="256"/>
      <c r="J25" s="210" t="s">
        <v>70</v>
      </c>
      <c r="K25" s="211"/>
      <c r="L25" s="29" t="s">
        <v>121</v>
      </c>
      <c r="M25" s="30" t="s">
        <v>122</v>
      </c>
      <c r="N25" s="30" t="s">
        <v>123</v>
      </c>
      <c r="O25" s="30" t="s">
        <v>124</v>
      </c>
      <c r="P25" s="30" t="s">
        <v>125</v>
      </c>
      <c r="Q25" s="30" t="s">
        <v>126</v>
      </c>
      <c r="R25" s="30" t="s">
        <v>127</v>
      </c>
      <c r="S25" s="30" t="s">
        <v>128</v>
      </c>
      <c r="T25" s="30" t="s">
        <v>129</v>
      </c>
      <c r="U25" s="31" t="s">
        <v>130</v>
      </c>
      <c r="V25" s="206"/>
      <c r="W25" s="207"/>
      <c r="X25" s="161"/>
      <c r="Y25" s="161"/>
      <c r="Z25" s="237"/>
      <c r="AA25" s="237"/>
      <c r="AB25" s="237"/>
      <c r="AC25" s="237"/>
      <c r="AD25" s="237"/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</row>
    <row r="26" spans="1:41" ht="20.100000000000001" customHeight="1">
      <c r="A26" s="159"/>
      <c r="B26" s="183"/>
      <c r="C26" s="236"/>
      <c r="D26" s="434"/>
      <c r="E26" s="435"/>
      <c r="F26" s="436"/>
      <c r="G26" s="360"/>
      <c r="H26" s="236"/>
      <c r="I26" s="256"/>
      <c r="J26" s="165" t="s">
        <v>71</v>
      </c>
      <c r="K26" s="166"/>
      <c r="L26" s="32" t="str">
        <f>($D$16)&amp;" 년"</f>
        <v>2025 년</v>
      </c>
      <c r="M26" s="33" t="str">
        <f>($D$16+1)&amp;" 년"</f>
        <v>2026 년</v>
      </c>
      <c r="N26" s="33" t="str">
        <f>($D$16+2)&amp;" 년"</f>
        <v>2027 년</v>
      </c>
      <c r="O26" s="33" t="str">
        <f>($D$16+3)&amp;" 년"</f>
        <v>2028 년</v>
      </c>
      <c r="P26" s="33" t="str">
        <f>($D$16+4)&amp;" 년"</f>
        <v>2029 년</v>
      </c>
      <c r="Q26" s="33" t="str">
        <f>($D$16+5)&amp;" 년"</f>
        <v>2030 년</v>
      </c>
      <c r="R26" s="33" t="str">
        <f>($D$16+6)&amp;" 년"</f>
        <v>2031 년</v>
      </c>
      <c r="S26" s="33" t="str">
        <f>($D$16+7)&amp;" 년"</f>
        <v>2032 년</v>
      </c>
      <c r="T26" s="33" t="str">
        <f>($D$16+8)&amp;" 년"</f>
        <v>2033 년</v>
      </c>
      <c r="U26" s="34" t="str">
        <f>($D$16+9)&amp;" 년"</f>
        <v>2034 년</v>
      </c>
      <c r="V26" s="206"/>
      <c r="W26" s="207"/>
      <c r="X26" s="161"/>
      <c r="Y26" s="161"/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/>
      <c r="AL26" s="237"/>
      <c r="AM26" s="237"/>
      <c r="AN26" s="237"/>
      <c r="AO26" s="237"/>
    </row>
    <row r="27" spans="1:41" ht="20.100000000000001" customHeight="1">
      <c r="A27" s="159"/>
      <c r="B27" s="183"/>
      <c r="C27" s="236"/>
      <c r="D27" s="434"/>
      <c r="E27" s="435"/>
      <c r="F27" s="436"/>
      <c r="G27" s="360"/>
      <c r="H27" s="236"/>
      <c r="I27" s="256"/>
      <c r="J27" s="165" t="s">
        <v>25</v>
      </c>
      <c r="K27" s="166"/>
      <c r="L27" s="35">
        <f t="shared" ref="L27:U27" si="0">$D$15/10</f>
        <v>0</v>
      </c>
      <c r="M27" s="36">
        <f t="shared" si="0"/>
        <v>0</v>
      </c>
      <c r="N27" s="36">
        <f t="shared" si="0"/>
        <v>0</v>
      </c>
      <c r="O27" s="36">
        <f t="shared" si="0"/>
        <v>0</v>
      </c>
      <c r="P27" s="36">
        <f t="shared" si="0"/>
        <v>0</v>
      </c>
      <c r="Q27" s="36">
        <f t="shared" si="0"/>
        <v>0</v>
      </c>
      <c r="R27" s="36">
        <f t="shared" si="0"/>
        <v>0</v>
      </c>
      <c r="S27" s="36">
        <f t="shared" si="0"/>
        <v>0</v>
      </c>
      <c r="T27" s="36">
        <f t="shared" si="0"/>
        <v>0</v>
      </c>
      <c r="U27" s="37">
        <f t="shared" si="0"/>
        <v>0</v>
      </c>
      <c r="V27" s="206"/>
      <c r="W27" s="207"/>
      <c r="X27" s="161"/>
      <c r="Y27" s="161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</row>
    <row r="28" spans="1:41" ht="20.100000000000001" customHeight="1">
      <c r="A28" s="159"/>
      <c r="B28" s="183"/>
      <c r="C28" s="236"/>
      <c r="D28" s="434"/>
      <c r="E28" s="435"/>
      <c r="F28" s="436"/>
      <c r="G28" s="360"/>
      <c r="H28" s="236"/>
      <c r="I28" s="256"/>
      <c r="J28" s="165" t="s">
        <v>75</v>
      </c>
      <c r="K28" s="166"/>
      <c r="L28" s="35">
        <f t="shared" ref="L28:U28" si="1">$D$25</f>
        <v>9452</v>
      </c>
      <c r="M28" s="36">
        <f t="shared" si="1"/>
        <v>9452</v>
      </c>
      <c r="N28" s="36">
        <f t="shared" si="1"/>
        <v>9452</v>
      </c>
      <c r="O28" s="36">
        <f t="shared" si="1"/>
        <v>9452</v>
      </c>
      <c r="P28" s="36">
        <f t="shared" si="1"/>
        <v>9452</v>
      </c>
      <c r="Q28" s="36">
        <f t="shared" si="1"/>
        <v>9452</v>
      </c>
      <c r="R28" s="36">
        <f t="shared" si="1"/>
        <v>9452</v>
      </c>
      <c r="S28" s="36">
        <f t="shared" si="1"/>
        <v>9452</v>
      </c>
      <c r="T28" s="36">
        <f t="shared" si="1"/>
        <v>9452</v>
      </c>
      <c r="U28" s="37">
        <f t="shared" si="1"/>
        <v>9452</v>
      </c>
      <c r="V28" s="250"/>
      <c r="W28" s="251"/>
      <c r="X28" s="161"/>
      <c r="Y28" s="161"/>
      <c r="Z28" s="237"/>
      <c r="AA28" s="237"/>
      <c r="AB28" s="237"/>
      <c r="AC28" s="237"/>
      <c r="AD28" s="237"/>
      <c r="AE28" s="237"/>
      <c r="AF28" s="237"/>
      <c r="AG28" s="237"/>
      <c r="AH28" s="237"/>
      <c r="AI28" s="237"/>
      <c r="AJ28" s="237"/>
      <c r="AK28" s="237"/>
      <c r="AL28" s="237"/>
      <c r="AM28" s="237"/>
      <c r="AN28" s="237"/>
      <c r="AO28" s="237"/>
    </row>
    <row r="29" spans="1:41" ht="20.100000000000001" customHeight="1">
      <c r="A29" s="159"/>
      <c r="B29" s="183"/>
      <c r="C29" s="236"/>
      <c r="D29" s="434"/>
      <c r="E29" s="435"/>
      <c r="F29" s="436"/>
      <c r="G29" s="360"/>
      <c r="H29" s="236"/>
      <c r="I29" s="256"/>
      <c r="J29" s="165" t="s">
        <v>166</v>
      </c>
      <c r="K29" s="166"/>
      <c r="L29" s="35">
        <f t="shared" ref="L29:U29" si="2">($D$13/10)</f>
        <v>0</v>
      </c>
      <c r="M29" s="36">
        <f t="shared" si="2"/>
        <v>0</v>
      </c>
      <c r="N29" s="36">
        <f t="shared" si="2"/>
        <v>0</v>
      </c>
      <c r="O29" s="36">
        <f t="shared" si="2"/>
        <v>0</v>
      </c>
      <c r="P29" s="36">
        <f t="shared" si="2"/>
        <v>0</v>
      </c>
      <c r="Q29" s="36">
        <f t="shared" si="2"/>
        <v>0</v>
      </c>
      <c r="R29" s="36">
        <f t="shared" si="2"/>
        <v>0</v>
      </c>
      <c r="S29" s="36">
        <f t="shared" si="2"/>
        <v>0</v>
      </c>
      <c r="T29" s="36">
        <f t="shared" si="2"/>
        <v>0</v>
      </c>
      <c r="U29" s="37">
        <f t="shared" si="2"/>
        <v>0</v>
      </c>
      <c r="V29" s="23">
        <f>SUM(L29:U29)</f>
        <v>0</v>
      </c>
      <c r="W29" s="38" t="s">
        <v>53</v>
      </c>
      <c r="X29" s="161"/>
      <c r="Y29" s="161"/>
      <c r="Z29" s="237"/>
      <c r="AA29" s="237"/>
      <c r="AB29" s="237"/>
      <c r="AC29" s="237"/>
      <c r="AD29" s="237"/>
      <c r="AE29" s="237"/>
      <c r="AF29" s="237"/>
      <c r="AG29" s="237"/>
      <c r="AH29" s="237"/>
      <c r="AI29" s="237"/>
      <c r="AJ29" s="237"/>
      <c r="AK29" s="237"/>
      <c r="AL29" s="237"/>
      <c r="AM29" s="237"/>
      <c r="AN29" s="237"/>
      <c r="AO29" s="237"/>
    </row>
    <row r="30" spans="1:41" ht="20.100000000000001" customHeight="1">
      <c r="A30" s="159"/>
      <c r="B30" s="183"/>
      <c r="C30" s="236"/>
      <c r="D30" s="434"/>
      <c r="E30" s="435"/>
      <c r="F30" s="436"/>
      <c r="G30" s="360"/>
      <c r="H30" s="236"/>
      <c r="I30" s="256"/>
      <c r="J30" s="212" t="s">
        <v>156</v>
      </c>
      <c r="K30" s="21" t="s">
        <v>158</v>
      </c>
      <c r="L30" s="39">
        <f t="shared" ref="L30:U30" si="3">(L29/L28)</f>
        <v>0</v>
      </c>
      <c r="M30" s="40">
        <f t="shared" si="3"/>
        <v>0</v>
      </c>
      <c r="N30" s="40">
        <f t="shared" si="3"/>
        <v>0</v>
      </c>
      <c r="O30" s="40">
        <f t="shared" si="3"/>
        <v>0</v>
      </c>
      <c r="P30" s="40">
        <f t="shared" si="3"/>
        <v>0</v>
      </c>
      <c r="Q30" s="40">
        <f t="shared" si="3"/>
        <v>0</v>
      </c>
      <c r="R30" s="40">
        <f t="shared" si="3"/>
        <v>0</v>
      </c>
      <c r="S30" s="40">
        <f t="shared" si="3"/>
        <v>0</v>
      </c>
      <c r="T30" s="40">
        <f t="shared" si="3"/>
        <v>0</v>
      </c>
      <c r="U30" s="41">
        <f t="shared" si="3"/>
        <v>0</v>
      </c>
      <c r="V30" s="163" t="s">
        <v>34</v>
      </c>
      <c r="W30" s="164"/>
      <c r="X30" s="161"/>
      <c r="Y30" s="161"/>
      <c r="Z30" s="237"/>
      <c r="AA30" s="237"/>
      <c r="AB30" s="237"/>
      <c r="AC30" s="237"/>
      <c r="AD30" s="237"/>
      <c r="AE30" s="237"/>
      <c r="AF30" s="237"/>
      <c r="AG30" s="237"/>
      <c r="AH30" s="237"/>
      <c r="AI30" s="237"/>
      <c r="AJ30" s="237"/>
      <c r="AK30" s="237"/>
      <c r="AL30" s="237"/>
      <c r="AM30" s="237"/>
      <c r="AN30" s="237"/>
      <c r="AO30" s="237"/>
    </row>
    <row r="31" spans="1:41" ht="20.100000000000001" customHeight="1" thickBot="1">
      <c r="A31" s="159"/>
      <c r="B31" s="183"/>
      <c r="C31" s="236"/>
      <c r="D31" s="437"/>
      <c r="E31" s="438"/>
      <c r="F31" s="439"/>
      <c r="G31" s="360"/>
      <c r="H31" s="236"/>
      <c r="I31" s="257"/>
      <c r="J31" s="254"/>
      <c r="K31" s="22" t="s">
        <v>54</v>
      </c>
      <c r="L31" s="42">
        <f>L30</f>
        <v>0</v>
      </c>
      <c r="M31" s="43">
        <f>M30+L31</f>
        <v>0</v>
      </c>
      <c r="N31" s="43">
        <f t="shared" ref="N31" si="4">N30+M31</f>
        <v>0</v>
      </c>
      <c r="O31" s="43">
        <f t="shared" ref="O31" si="5">O30+N31</f>
        <v>0</v>
      </c>
      <c r="P31" s="43">
        <f t="shared" ref="P31" si="6">P30+O31</f>
        <v>0</v>
      </c>
      <c r="Q31" s="43">
        <f t="shared" ref="Q31" si="7">Q30+P31</f>
        <v>0</v>
      </c>
      <c r="R31" s="43">
        <f t="shared" ref="R31" si="8">R30+Q31</f>
        <v>0</v>
      </c>
      <c r="S31" s="43">
        <f t="shared" ref="S31" si="9">S30+R31</f>
        <v>0</v>
      </c>
      <c r="T31" s="43">
        <f t="shared" ref="T31" si="10">T30+S31</f>
        <v>0</v>
      </c>
      <c r="U31" s="44">
        <f t="shared" ref="U31" si="11">U30+T31</f>
        <v>0</v>
      </c>
      <c r="V31" s="93">
        <f>U31*U28</f>
        <v>0</v>
      </c>
      <c r="W31" s="19" t="s">
        <v>53</v>
      </c>
      <c r="X31" s="161"/>
      <c r="Y31" s="161"/>
      <c r="Z31" s="237"/>
      <c r="AA31" s="237"/>
      <c r="AB31" s="237"/>
      <c r="AC31" s="237"/>
      <c r="AD31" s="237"/>
      <c r="AE31" s="237"/>
      <c r="AF31" s="237"/>
      <c r="AG31" s="237"/>
      <c r="AH31" s="237"/>
      <c r="AI31" s="237"/>
      <c r="AJ31" s="237"/>
      <c r="AK31" s="237"/>
      <c r="AL31" s="237"/>
      <c r="AM31" s="237"/>
      <c r="AN31" s="237"/>
      <c r="AO31" s="237"/>
    </row>
    <row r="32" spans="1:41" ht="20.100000000000001" customHeight="1">
      <c r="A32" s="159"/>
      <c r="B32" s="361"/>
      <c r="C32" s="361"/>
      <c r="D32" s="362"/>
      <c r="E32" s="362"/>
      <c r="F32" s="362"/>
      <c r="G32" s="360"/>
      <c r="H32" s="236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1"/>
      <c r="Y32" s="161"/>
      <c r="Z32" s="237"/>
      <c r="AA32" s="237"/>
      <c r="AB32" s="237"/>
      <c r="AC32" s="237"/>
      <c r="AD32" s="237"/>
      <c r="AE32" s="237"/>
      <c r="AF32" s="237"/>
      <c r="AG32" s="237"/>
      <c r="AH32" s="237"/>
      <c r="AI32" s="237"/>
      <c r="AJ32" s="237"/>
      <c r="AK32" s="237"/>
      <c r="AL32" s="237"/>
      <c r="AM32" s="237"/>
      <c r="AN32" s="237"/>
      <c r="AO32" s="237"/>
    </row>
    <row r="33" spans="1:41" ht="20.100000000000001" customHeight="1">
      <c r="A33" s="159"/>
      <c r="B33" s="362"/>
      <c r="C33" s="362"/>
      <c r="D33" s="362"/>
      <c r="E33" s="362"/>
      <c r="F33" s="362"/>
      <c r="G33" s="360"/>
      <c r="H33" s="236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237"/>
      <c r="AA33" s="237"/>
      <c r="AB33" s="237"/>
      <c r="AC33" s="237"/>
      <c r="AD33" s="237"/>
      <c r="AE33" s="237"/>
      <c r="AF33" s="237"/>
      <c r="AG33" s="237"/>
      <c r="AH33" s="237"/>
      <c r="AI33" s="237"/>
      <c r="AJ33" s="237"/>
      <c r="AK33" s="237"/>
      <c r="AL33" s="237"/>
      <c r="AM33" s="237"/>
      <c r="AN33" s="237"/>
      <c r="AO33" s="237"/>
    </row>
    <row r="34" spans="1:41" ht="20.100000000000001" customHeight="1">
      <c r="A34" s="159"/>
      <c r="B34" s="363"/>
      <c r="C34" s="363"/>
      <c r="D34" s="363"/>
      <c r="E34" s="363"/>
      <c r="F34" s="363"/>
      <c r="G34" s="360"/>
      <c r="H34" s="236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1"/>
      <c r="Y34" s="161"/>
      <c r="Z34" s="237"/>
      <c r="AA34" s="237"/>
      <c r="AB34" s="237"/>
      <c r="AC34" s="237"/>
      <c r="AD34" s="237"/>
      <c r="AE34" s="237"/>
      <c r="AF34" s="237"/>
      <c r="AG34" s="237"/>
      <c r="AH34" s="237"/>
      <c r="AI34" s="237"/>
      <c r="AJ34" s="237"/>
      <c r="AK34" s="237"/>
      <c r="AL34" s="237"/>
      <c r="AM34" s="237"/>
      <c r="AN34" s="237"/>
      <c r="AO34" s="237"/>
    </row>
    <row r="35" spans="1:41" ht="20.100000000000001" customHeight="1" thickBot="1">
      <c r="A35" s="159"/>
      <c r="B35" s="184" t="s">
        <v>50</v>
      </c>
      <c r="C35" s="368" t="s">
        <v>66</v>
      </c>
      <c r="D35" s="369"/>
      <c r="E35" s="369"/>
      <c r="F35" s="370"/>
      <c r="G35" s="360"/>
      <c r="H35" s="236"/>
      <c r="I35" s="238" t="s">
        <v>31</v>
      </c>
      <c r="J35" s="177" t="s">
        <v>28</v>
      </c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9"/>
      <c r="V35" s="204" t="s">
        <v>33</v>
      </c>
      <c r="W35" s="205"/>
      <c r="X35" s="161"/>
      <c r="Y35" s="161"/>
      <c r="Z35" s="237"/>
      <c r="AA35" s="237"/>
      <c r="AB35" s="237"/>
      <c r="AC35" s="237"/>
      <c r="AD35" s="237"/>
      <c r="AE35" s="237"/>
      <c r="AF35" s="237"/>
      <c r="AG35" s="237"/>
      <c r="AH35" s="237"/>
      <c r="AI35" s="237"/>
      <c r="AJ35" s="237"/>
      <c r="AK35" s="237"/>
      <c r="AL35" s="237"/>
      <c r="AM35" s="237"/>
      <c r="AN35" s="237"/>
      <c r="AO35" s="237"/>
    </row>
    <row r="36" spans="1:41" ht="20.100000000000001" customHeight="1" thickBot="1">
      <c r="A36" s="159"/>
      <c r="B36" s="185"/>
      <c r="C36" s="127" t="s">
        <v>56</v>
      </c>
      <c r="D36" s="402">
        <v>9452</v>
      </c>
      <c r="E36" s="403"/>
      <c r="F36" s="404"/>
      <c r="G36" s="360"/>
      <c r="H36" s="236"/>
      <c r="I36" s="239"/>
      <c r="J36" s="210" t="s">
        <v>70</v>
      </c>
      <c r="K36" s="211"/>
      <c r="L36" s="45" t="s">
        <v>121</v>
      </c>
      <c r="M36" s="46" t="s">
        <v>122</v>
      </c>
      <c r="N36" s="46" t="s">
        <v>123</v>
      </c>
      <c r="O36" s="46" t="s">
        <v>124</v>
      </c>
      <c r="P36" s="46" t="s">
        <v>125</v>
      </c>
      <c r="Q36" s="46" t="s">
        <v>126</v>
      </c>
      <c r="R36" s="46" t="s">
        <v>127</v>
      </c>
      <c r="S36" s="46" t="s">
        <v>128</v>
      </c>
      <c r="T36" s="46" t="s">
        <v>129</v>
      </c>
      <c r="U36" s="47" t="s">
        <v>130</v>
      </c>
      <c r="V36" s="206"/>
      <c r="W36" s="207"/>
      <c r="X36" s="161"/>
      <c r="Y36" s="161"/>
      <c r="Z36" s="237"/>
      <c r="AA36" s="237"/>
      <c r="AB36" s="237"/>
      <c r="AC36" s="237"/>
      <c r="AD36" s="237"/>
      <c r="AE36" s="237"/>
      <c r="AF36" s="237"/>
      <c r="AG36" s="237"/>
      <c r="AH36" s="237"/>
      <c r="AI36" s="237"/>
      <c r="AJ36" s="237"/>
      <c r="AK36" s="237"/>
      <c r="AL36" s="237"/>
      <c r="AM36" s="237"/>
      <c r="AN36" s="237"/>
      <c r="AO36" s="237"/>
    </row>
    <row r="37" spans="1:41" ht="20.100000000000001" customHeight="1">
      <c r="A37" s="159"/>
      <c r="B37" s="185"/>
      <c r="C37" s="16" t="s">
        <v>57</v>
      </c>
      <c r="D37" s="281">
        <f>D36*1.3</f>
        <v>12287.6</v>
      </c>
      <c r="E37" s="426"/>
      <c r="F37" s="427"/>
      <c r="G37" s="360"/>
      <c r="H37" s="236"/>
      <c r="I37" s="239"/>
      <c r="J37" s="165" t="s">
        <v>71</v>
      </c>
      <c r="K37" s="166"/>
      <c r="L37" s="90" t="str">
        <f>($D$16)&amp;" 년"</f>
        <v>2025 년</v>
      </c>
      <c r="M37" s="91" t="str">
        <f>($D$16+1)&amp;" 년"</f>
        <v>2026 년</v>
      </c>
      <c r="N37" s="91" t="str">
        <f>($D$16+2)&amp;" 년"</f>
        <v>2027 년</v>
      </c>
      <c r="O37" s="91" t="str">
        <f>($D$16+3)&amp;" 년"</f>
        <v>2028 년</v>
      </c>
      <c r="P37" s="91" t="str">
        <f>($D$16+4)&amp;" 년"</f>
        <v>2029 년</v>
      </c>
      <c r="Q37" s="91" t="str">
        <f>($D$16+5)&amp;" 년"</f>
        <v>2030 년</v>
      </c>
      <c r="R37" s="91" t="str">
        <f>($D$16+6)&amp;" 년"</f>
        <v>2031 년</v>
      </c>
      <c r="S37" s="91" t="str">
        <f>($D$16+7)&amp;" 년"</f>
        <v>2032 년</v>
      </c>
      <c r="T37" s="91" t="str">
        <f>($D$16+8)&amp;" 년"</f>
        <v>2033 년</v>
      </c>
      <c r="U37" s="92" t="str">
        <f>($D$16+9)&amp;" 년"</f>
        <v>2034 년</v>
      </c>
      <c r="V37" s="206"/>
      <c r="W37" s="207"/>
      <c r="X37" s="161"/>
      <c r="Y37" s="161"/>
      <c r="Z37" s="237"/>
      <c r="AA37" s="237"/>
      <c r="AB37" s="237"/>
      <c r="AC37" s="237"/>
      <c r="AD37" s="237"/>
      <c r="AE37" s="237"/>
      <c r="AF37" s="237"/>
      <c r="AG37" s="237"/>
      <c r="AH37" s="237"/>
      <c r="AI37" s="237"/>
      <c r="AJ37" s="237"/>
      <c r="AK37" s="237"/>
      <c r="AL37" s="237"/>
      <c r="AM37" s="237"/>
      <c r="AN37" s="237"/>
      <c r="AO37" s="237"/>
    </row>
    <row r="38" spans="1:41" ht="20.100000000000001" customHeight="1">
      <c r="A38" s="159"/>
      <c r="B38" s="185"/>
      <c r="C38" s="18" t="s">
        <v>67</v>
      </c>
      <c r="D38" s="428">
        <f>D36*0.7</f>
        <v>6616.4</v>
      </c>
      <c r="E38" s="429"/>
      <c r="F38" s="430"/>
      <c r="G38" s="360"/>
      <c r="H38" s="236"/>
      <c r="I38" s="239"/>
      <c r="J38" s="165" t="s">
        <v>25</v>
      </c>
      <c r="K38" s="166"/>
      <c r="L38" s="89">
        <f t="shared" ref="L38:U38" si="12">$D$15/10</f>
        <v>0</v>
      </c>
      <c r="M38" s="86">
        <f t="shared" si="12"/>
        <v>0</v>
      </c>
      <c r="N38" s="86">
        <f t="shared" si="12"/>
        <v>0</v>
      </c>
      <c r="O38" s="86">
        <f t="shared" si="12"/>
        <v>0</v>
      </c>
      <c r="P38" s="86">
        <f t="shared" si="12"/>
        <v>0</v>
      </c>
      <c r="Q38" s="86">
        <f t="shared" si="12"/>
        <v>0</v>
      </c>
      <c r="R38" s="86">
        <f t="shared" si="12"/>
        <v>0</v>
      </c>
      <c r="S38" s="86">
        <f t="shared" si="12"/>
        <v>0</v>
      </c>
      <c r="T38" s="86">
        <f t="shared" si="12"/>
        <v>0</v>
      </c>
      <c r="U38" s="87">
        <f t="shared" si="12"/>
        <v>0</v>
      </c>
      <c r="V38" s="208"/>
      <c r="W38" s="209"/>
      <c r="X38" s="161"/>
      <c r="Y38" s="161"/>
      <c r="Z38" s="237"/>
      <c r="AA38" s="237"/>
      <c r="AB38" s="237"/>
      <c r="AC38" s="237"/>
      <c r="AD38" s="237"/>
      <c r="AE38" s="237"/>
      <c r="AF38" s="237"/>
      <c r="AG38" s="237"/>
      <c r="AH38" s="237"/>
      <c r="AI38" s="237"/>
      <c r="AJ38" s="237"/>
      <c r="AK38" s="237"/>
      <c r="AL38" s="237"/>
      <c r="AM38" s="237"/>
      <c r="AN38" s="237"/>
      <c r="AO38" s="237"/>
    </row>
    <row r="39" spans="1:41" ht="20.100000000000001" customHeight="1" thickBot="1">
      <c r="A39" s="159"/>
      <c r="B39" s="185"/>
      <c r="C39" s="378" t="s">
        <v>74</v>
      </c>
      <c r="D39" s="237"/>
      <c r="E39" s="237"/>
      <c r="F39" s="360"/>
      <c r="G39" s="360"/>
      <c r="H39" s="236"/>
      <c r="I39" s="239"/>
      <c r="J39" s="165" t="s">
        <v>166</v>
      </c>
      <c r="K39" s="166"/>
      <c r="L39" s="89">
        <f t="shared" ref="L39:U39" si="13">($D$13/10)</f>
        <v>0</v>
      </c>
      <c r="M39" s="86">
        <f t="shared" si="13"/>
        <v>0</v>
      </c>
      <c r="N39" s="86">
        <f t="shared" si="13"/>
        <v>0</v>
      </c>
      <c r="O39" s="86">
        <f t="shared" si="13"/>
        <v>0</v>
      </c>
      <c r="P39" s="86">
        <f t="shared" si="13"/>
        <v>0</v>
      </c>
      <c r="Q39" s="86">
        <f t="shared" si="13"/>
        <v>0</v>
      </c>
      <c r="R39" s="86">
        <f t="shared" si="13"/>
        <v>0</v>
      </c>
      <c r="S39" s="86">
        <f t="shared" si="13"/>
        <v>0</v>
      </c>
      <c r="T39" s="86">
        <f t="shared" si="13"/>
        <v>0</v>
      </c>
      <c r="U39" s="87">
        <f t="shared" si="13"/>
        <v>0</v>
      </c>
      <c r="V39" s="215">
        <f>SUM(L39:U39)</f>
        <v>0</v>
      </c>
      <c r="W39" s="218" t="s">
        <v>58</v>
      </c>
      <c r="X39" s="161"/>
      <c r="Y39" s="161"/>
      <c r="Z39" s="237"/>
      <c r="AA39" s="237"/>
      <c r="AB39" s="237"/>
      <c r="AC39" s="237"/>
      <c r="AD39" s="237"/>
      <c r="AE39" s="237"/>
      <c r="AF39" s="237"/>
      <c r="AG39" s="237"/>
      <c r="AH39" s="237"/>
      <c r="AI39" s="237"/>
      <c r="AJ39" s="237"/>
      <c r="AK39" s="237"/>
      <c r="AL39" s="237"/>
      <c r="AM39" s="237"/>
      <c r="AN39" s="237"/>
      <c r="AO39" s="237"/>
    </row>
    <row r="40" spans="1:41" ht="20.100000000000001" customHeight="1">
      <c r="A40" s="159"/>
      <c r="B40" s="185"/>
      <c r="C40" s="126" t="s">
        <v>131</v>
      </c>
      <c r="D40" s="394">
        <v>0</v>
      </c>
      <c r="E40" s="395"/>
      <c r="F40" s="396"/>
      <c r="G40" s="360"/>
      <c r="H40" s="236"/>
      <c r="I40" s="239"/>
      <c r="J40" s="165" t="s">
        <v>37</v>
      </c>
      <c r="K40" s="166"/>
      <c r="L40" s="89">
        <f t="shared" ref="L40:U40" si="14">$D$36</f>
        <v>9452</v>
      </c>
      <c r="M40" s="86">
        <f t="shared" si="14"/>
        <v>9452</v>
      </c>
      <c r="N40" s="86">
        <f t="shared" si="14"/>
        <v>9452</v>
      </c>
      <c r="O40" s="86">
        <f t="shared" si="14"/>
        <v>9452</v>
      </c>
      <c r="P40" s="86">
        <f t="shared" si="14"/>
        <v>9452</v>
      </c>
      <c r="Q40" s="86">
        <f t="shared" si="14"/>
        <v>9452</v>
      </c>
      <c r="R40" s="86">
        <f t="shared" si="14"/>
        <v>9452</v>
      </c>
      <c r="S40" s="86">
        <f t="shared" si="14"/>
        <v>9452</v>
      </c>
      <c r="T40" s="86">
        <f t="shared" si="14"/>
        <v>9452</v>
      </c>
      <c r="U40" s="87">
        <f t="shared" si="14"/>
        <v>9452</v>
      </c>
      <c r="V40" s="216"/>
      <c r="W40" s="219"/>
      <c r="X40" s="161"/>
      <c r="Y40" s="161"/>
      <c r="Z40" s="237"/>
      <c r="AA40" s="237"/>
      <c r="AB40" s="237"/>
      <c r="AC40" s="237"/>
      <c r="AD40" s="237"/>
      <c r="AE40" s="237"/>
      <c r="AF40" s="237"/>
      <c r="AG40" s="237"/>
      <c r="AH40" s="237"/>
      <c r="AI40" s="237"/>
      <c r="AJ40" s="237"/>
      <c r="AK40" s="237"/>
      <c r="AL40" s="237"/>
      <c r="AM40" s="237"/>
      <c r="AN40" s="237"/>
      <c r="AO40" s="237"/>
    </row>
    <row r="41" spans="1:41" ht="20.100000000000001" customHeight="1">
      <c r="A41" s="159"/>
      <c r="B41" s="185"/>
      <c r="C41" s="115" t="s">
        <v>132</v>
      </c>
      <c r="D41" s="380">
        <v>0</v>
      </c>
      <c r="E41" s="381"/>
      <c r="F41" s="382"/>
      <c r="G41" s="360"/>
      <c r="H41" s="236"/>
      <c r="I41" s="239"/>
      <c r="J41" s="165" t="s">
        <v>73</v>
      </c>
      <c r="K41" s="166"/>
      <c r="L41" s="89">
        <f>$D40</f>
        <v>0</v>
      </c>
      <c r="M41" s="86">
        <f>$D41</f>
        <v>0</v>
      </c>
      <c r="N41" s="86">
        <f>D42</f>
        <v>0</v>
      </c>
      <c r="O41" s="86">
        <f>D43</f>
        <v>0</v>
      </c>
      <c r="P41" s="86">
        <f>D44</f>
        <v>0</v>
      </c>
      <c r="Q41" s="86">
        <f>D45</f>
        <v>0</v>
      </c>
      <c r="R41" s="86">
        <f>D46</f>
        <v>0</v>
      </c>
      <c r="S41" s="86">
        <f>D47</f>
        <v>0</v>
      </c>
      <c r="T41" s="86">
        <f>D48</f>
        <v>0</v>
      </c>
      <c r="U41" s="87">
        <f>D49</f>
        <v>0</v>
      </c>
      <c r="V41" s="216"/>
      <c r="W41" s="219"/>
      <c r="X41" s="161"/>
      <c r="Y41" s="161"/>
      <c r="Z41" s="237"/>
      <c r="AA41" s="237"/>
      <c r="AB41" s="237"/>
      <c r="AC41" s="237"/>
      <c r="AD41" s="237"/>
      <c r="AE41" s="237"/>
      <c r="AF41" s="237"/>
      <c r="AG41" s="237"/>
      <c r="AH41" s="237"/>
      <c r="AI41" s="237"/>
      <c r="AJ41" s="237"/>
      <c r="AK41" s="237"/>
      <c r="AL41" s="237"/>
      <c r="AM41" s="237"/>
      <c r="AN41" s="237"/>
      <c r="AO41" s="237"/>
    </row>
    <row r="42" spans="1:41" ht="20.100000000000001" customHeight="1">
      <c r="A42" s="159"/>
      <c r="B42" s="185"/>
      <c r="C42" s="115" t="s">
        <v>133</v>
      </c>
      <c r="D42" s="380">
        <v>0</v>
      </c>
      <c r="E42" s="381"/>
      <c r="F42" s="382"/>
      <c r="G42" s="360"/>
      <c r="H42" s="236"/>
      <c r="I42" s="239"/>
      <c r="J42" s="212" t="s">
        <v>72</v>
      </c>
      <c r="K42" s="71" t="s">
        <v>38</v>
      </c>
      <c r="L42" s="72">
        <f>L$41/L$40</f>
        <v>0</v>
      </c>
      <c r="M42" s="73">
        <f t="shared" ref="M42:U42" si="15">M$41/M$40</f>
        <v>0</v>
      </c>
      <c r="N42" s="73">
        <f t="shared" si="15"/>
        <v>0</v>
      </c>
      <c r="O42" s="73">
        <f t="shared" si="15"/>
        <v>0</v>
      </c>
      <c r="P42" s="73">
        <f t="shared" si="15"/>
        <v>0</v>
      </c>
      <c r="Q42" s="73">
        <f t="shared" si="15"/>
        <v>0</v>
      </c>
      <c r="R42" s="73">
        <f t="shared" si="15"/>
        <v>0</v>
      </c>
      <c r="S42" s="73">
        <f t="shared" si="15"/>
        <v>0</v>
      </c>
      <c r="T42" s="73">
        <f t="shared" si="15"/>
        <v>0</v>
      </c>
      <c r="U42" s="74">
        <f t="shared" si="15"/>
        <v>0</v>
      </c>
      <c r="V42" s="217"/>
      <c r="W42" s="220"/>
      <c r="X42" s="161"/>
      <c r="Y42" s="161"/>
      <c r="Z42" s="237"/>
      <c r="AA42" s="237"/>
      <c r="AB42" s="237"/>
      <c r="AC42" s="237"/>
      <c r="AD42" s="237"/>
      <c r="AE42" s="237"/>
      <c r="AF42" s="237"/>
      <c r="AG42" s="237"/>
      <c r="AH42" s="237"/>
      <c r="AI42" s="237"/>
      <c r="AJ42" s="237"/>
      <c r="AK42" s="237"/>
      <c r="AL42" s="237"/>
      <c r="AM42" s="237"/>
      <c r="AN42" s="237"/>
      <c r="AO42" s="237"/>
    </row>
    <row r="43" spans="1:41" ht="20.100000000000001" customHeight="1">
      <c r="A43" s="159"/>
      <c r="B43" s="185"/>
      <c r="C43" s="115" t="s">
        <v>134</v>
      </c>
      <c r="D43" s="380">
        <v>0</v>
      </c>
      <c r="E43" s="381"/>
      <c r="F43" s="382"/>
      <c r="G43" s="360"/>
      <c r="H43" s="236"/>
      <c r="I43" s="239"/>
      <c r="J43" s="213"/>
      <c r="K43" s="85" t="s">
        <v>36</v>
      </c>
      <c r="L43" s="89" t="str">
        <f t="shared" ref="L43:U43" si="16">IF(AND(L$42&gt;=70%,L$42&lt;=130%),"X ","O")</f>
        <v>O</v>
      </c>
      <c r="M43" s="86" t="str">
        <f t="shared" si="16"/>
        <v>O</v>
      </c>
      <c r="N43" s="86" t="str">
        <f t="shared" si="16"/>
        <v>O</v>
      </c>
      <c r="O43" s="86" t="str">
        <f t="shared" si="16"/>
        <v>O</v>
      </c>
      <c r="P43" s="86" t="str">
        <f t="shared" si="16"/>
        <v>O</v>
      </c>
      <c r="Q43" s="86" t="str">
        <f t="shared" si="16"/>
        <v>O</v>
      </c>
      <c r="R43" s="86" t="str">
        <f t="shared" si="16"/>
        <v>O</v>
      </c>
      <c r="S43" s="86" t="str">
        <f t="shared" si="16"/>
        <v>O</v>
      </c>
      <c r="T43" s="86" t="str">
        <f t="shared" si="16"/>
        <v>O</v>
      </c>
      <c r="U43" s="87" t="str">
        <f t="shared" si="16"/>
        <v>O</v>
      </c>
      <c r="V43" s="221" t="s">
        <v>59</v>
      </c>
      <c r="W43" s="222"/>
      <c r="X43" s="161"/>
      <c r="Y43" s="161"/>
      <c r="Z43" s="237"/>
      <c r="AA43" s="237"/>
      <c r="AB43" s="237"/>
      <c r="AC43" s="237"/>
      <c r="AD43" s="237"/>
      <c r="AE43" s="237"/>
      <c r="AF43" s="237"/>
      <c r="AG43" s="237"/>
      <c r="AH43" s="237"/>
      <c r="AI43" s="237"/>
      <c r="AJ43" s="237"/>
      <c r="AK43" s="237"/>
      <c r="AL43" s="237"/>
      <c r="AM43" s="237"/>
      <c r="AN43" s="237"/>
      <c r="AO43" s="237"/>
    </row>
    <row r="44" spans="1:41" ht="20.100000000000001" customHeight="1">
      <c r="A44" s="159"/>
      <c r="B44" s="185"/>
      <c r="C44" s="115" t="s">
        <v>135</v>
      </c>
      <c r="D44" s="380">
        <v>0</v>
      </c>
      <c r="E44" s="381"/>
      <c r="F44" s="382"/>
      <c r="G44" s="360"/>
      <c r="H44" s="236"/>
      <c r="I44" s="239"/>
      <c r="J44" s="214"/>
      <c r="K44" s="88" t="s">
        <v>40</v>
      </c>
      <c r="L44" s="89">
        <f>IF(AND(L41&gt;=L40*0.7,L41&lt;=L40*1.3),0,IF(L41&gt;=L40*1.3,(L41-L40*1.3)/2,IF(L41&lt;=L40*0.7,(L41-L40*0.7)/2)))</f>
        <v>-3308.2</v>
      </c>
      <c r="M44" s="86">
        <f t="shared" ref="M44:U44" si="17">IF(AND(M41&gt;=M40*0.7,M41&lt;=M40*1.3),0,IF(M41&gt;=M40*1.3,(M41-M40*1.3)/2,IF(M41&lt;=M40*0.7,(M41-M40*0.7)/2)))</f>
        <v>-3308.2</v>
      </c>
      <c r="N44" s="86">
        <f t="shared" si="17"/>
        <v>-3308.2</v>
      </c>
      <c r="O44" s="86">
        <f t="shared" si="17"/>
        <v>-3308.2</v>
      </c>
      <c r="P44" s="86">
        <f t="shared" si="17"/>
        <v>-3308.2</v>
      </c>
      <c r="Q44" s="86">
        <f t="shared" si="17"/>
        <v>-3308.2</v>
      </c>
      <c r="R44" s="86">
        <f t="shared" si="17"/>
        <v>-3308.2</v>
      </c>
      <c r="S44" s="86">
        <f t="shared" si="17"/>
        <v>-3308.2</v>
      </c>
      <c r="T44" s="86">
        <f t="shared" si="17"/>
        <v>-3308.2</v>
      </c>
      <c r="U44" s="87">
        <f t="shared" si="17"/>
        <v>-3308.2</v>
      </c>
      <c r="V44" s="223"/>
      <c r="W44" s="224"/>
      <c r="X44" s="161"/>
      <c r="Y44" s="161"/>
      <c r="Z44" s="237"/>
      <c r="AA44" s="237"/>
      <c r="AB44" s="237"/>
      <c r="AC44" s="237"/>
      <c r="AD44" s="237"/>
      <c r="AE44" s="237"/>
      <c r="AF44" s="237"/>
      <c r="AG44" s="237"/>
      <c r="AH44" s="237"/>
      <c r="AI44" s="237"/>
      <c r="AJ44" s="237"/>
      <c r="AK44" s="237"/>
      <c r="AL44" s="237"/>
      <c r="AM44" s="237"/>
      <c r="AN44" s="237"/>
      <c r="AO44" s="237"/>
    </row>
    <row r="45" spans="1:41" ht="20.100000000000001" customHeight="1">
      <c r="A45" s="159"/>
      <c r="B45" s="185"/>
      <c r="C45" s="115" t="s">
        <v>136</v>
      </c>
      <c r="D45" s="380">
        <v>0</v>
      </c>
      <c r="E45" s="381"/>
      <c r="F45" s="382"/>
      <c r="G45" s="360"/>
      <c r="H45" s="236"/>
      <c r="I45" s="239"/>
      <c r="J45" s="163" t="s">
        <v>39</v>
      </c>
      <c r="K45" s="164"/>
      <c r="L45" s="89">
        <f>L40+L44</f>
        <v>6143.8</v>
      </c>
      <c r="M45" s="86">
        <f t="shared" ref="M45:U45" si="18">M40+M44</f>
        <v>6143.8</v>
      </c>
      <c r="N45" s="86">
        <f t="shared" si="18"/>
        <v>6143.8</v>
      </c>
      <c r="O45" s="86">
        <f t="shared" si="18"/>
        <v>6143.8</v>
      </c>
      <c r="P45" s="86">
        <f t="shared" si="18"/>
        <v>6143.8</v>
      </c>
      <c r="Q45" s="86">
        <f t="shared" si="18"/>
        <v>6143.8</v>
      </c>
      <c r="R45" s="86">
        <f t="shared" si="18"/>
        <v>6143.8</v>
      </c>
      <c r="S45" s="86">
        <f t="shared" si="18"/>
        <v>6143.8</v>
      </c>
      <c r="T45" s="86">
        <f t="shared" si="18"/>
        <v>6143.8</v>
      </c>
      <c r="U45" s="87">
        <f t="shared" si="18"/>
        <v>6143.8</v>
      </c>
      <c r="V45" s="225"/>
      <c r="W45" s="226"/>
      <c r="X45" s="161"/>
      <c r="Y45" s="161"/>
      <c r="Z45" s="237"/>
      <c r="AA45" s="237"/>
      <c r="AB45" s="237"/>
      <c r="AC45" s="237"/>
      <c r="AD45" s="237"/>
      <c r="AE45" s="237"/>
      <c r="AF45" s="237"/>
      <c r="AG45" s="237"/>
      <c r="AH45" s="237"/>
      <c r="AI45" s="237"/>
      <c r="AJ45" s="237"/>
      <c r="AK45" s="237"/>
      <c r="AL45" s="237"/>
      <c r="AM45" s="237"/>
      <c r="AN45" s="237"/>
      <c r="AO45" s="237"/>
    </row>
    <row r="46" spans="1:41" ht="20.100000000000001" customHeight="1">
      <c r="A46" s="159"/>
      <c r="B46" s="185"/>
      <c r="C46" s="115" t="s">
        <v>137</v>
      </c>
      <c r="D46" s="380">
        <v>0</v>
      </c>
      <c r="E46" s="381"/>
      <c r="F46" s="382"/>
      <c r="G46" s="360"/>
      <c r="H46" s="236"/>
      <c r="I46" s="239"/>
      <c r="J46" s="212" t="s">
        <v>156</v>
      </c>
      <c r="K46" s="21" t="s">
        <v>158</v>
      </c>
      <c r="L46" s="48">
        <f>(L$39/L$45)</f>
        <v>0</v>
      </c>
      <c r="M46" s="49">
        <f t="shared" ref="M46:U46" si="19">(M$39/M$45)</f>
        <v>0</v>
      </c>
      <c r="N46" s="49">
        <f t="shared" si="19"/>
        <v>0</v>
      </c>
      <c r="O46" s="49">
        <f t="shared" si="19"/>
        <v>0</v>
      </c>
      <c r="P46" s="49">
        <f t="shared" si="19"/>
        <v>0</v>
      </c>
      <c r="Q46" s="49">
        <f t="shared" si="19"/>
        <v>0</v>
      </c>
      <c r="R46" s="49">
        <f t="shared" si="19"/>
        <v>0</v>
      </c>
      <c r="S46" s="49">
        <f t="shared" si="19"/>
        <v>0</v>
      </c>
      <c r="T46" s="49">
        <f t="shared" si="19"/>
        <v>0</v>
      </c>
      <c r="U46" s="50">
        <f t="shared" si="19"/>
        <v>0</v>
      </c>
      <c r="V46" s="215">
        <f>L46*L45+M46*M45+N46*N45+O46*O45+P46*P45+Q46*Q45+R46*R45+S46*S45+T46*T45+U46*U45</f>
        <v>0</v>
      </c>
      <c r="W46" s="295" t="s">
        <v>58</v>
      </c>
      <c r="X46" s="161"/>
      <c r="Y46" s="161"/>
      <c r="Z46" s="237"/>
      <c r="AA46" s="237"/>
      <c r="AB46" s="237"/>
      <c r="AC46" s="237"/>
      <c r="AD46" s="237"/>
      <c r="AE46" s="237"/>
      <c r="AF46" s="237"/>
      <c r="AG46" s="237"/>
      <c r="AH46" s="237"/>
      <c r="AI46" s="237"/>
      <c r="AJ46" s="237"/>
      <c r="AK46" s="237"/>
      <c r="AL46" s="237"/>
      <c r="AM46" s="237"/>
      <c r="AN46" s="237"/>
      <c r="AO46" s="237"/>
    </row>
    <row r="47" spans="1:41" ht="20.100000000000001" customHeight="1">
      <c r="A47" s="159"/>
      <c r="B47" s="185"/>
      <c r="C47" s="115" t="s">
        <v>138</v>
      </c>
      <c r="D47" s="380">
        <v>0</v>
      </c>
      <c r="E47" s="381"/>
      <c r="F47" s="382"/>
      <c r="G47" s="360"/>
      <c r="H47" s="236"/>
      <c r="I47" s="239"/>
      <c r="J47" s="254"/>
      <c r="K47" s="22" t="s">
        <v>54</v>
      </c>
      <c r="L47" s="51">
        <f>L46</f>
        <v>0</v>
      </c>
      <c r="M47" s="52">
        <f>M46+L47</f>
        <v>0</v>
      </c>
      <c r="N47" s="52">
        <f t="shared" ref="N47" si="20">N46+M47</f>
        <v>0</v>
      </c>
      <c r="O47" s="52">
        <f t="shared" ref="O47" si="21">O46+N47</f>
        <v>0</v>
      </c>
      <c r="P47" s="52">
        <f t="shared" ref="P47" si="22">P46+O47</f>
        <v>0</v>
      </c>
      <c r="Q47" s="52">
        <f t="shared" ref="Q47" si="23">Q46+P47</f>
        <v>0</v>
      </c>
      <c r="R47" s="52">
        <f t="shared" ref="R47" si="24">R46+Q47</f>
        <v>0</v>
      </c>
      <c r="S47" s="52">
        <f t="shared" ref="S47" si="25">S46+R47</f>
        <v>0</v>
      </c>
      <c r="T47" s="52">
        <f t="shared" ref="T47" si="26">T46+S47</f>
        <v>0</v>
      </c>
      <c r="U47" s="53">
        <f t="shared" ref="U47" si="27">U46+T47</f>
        <v>0</v>
      </c>
      <c r="V47" s="216"/>
      <c r="W47" s="296"/>
      <c r="X47" s="161"/>
      <c r="Y47" s="161"/>
      <c r="Z47" s="237"/>
      <c r="AA47" s="237"/>
      <c r="AB47" s="237"/>
      <c r="AC47" s="237"/>
      <c r="AD47" s="237"/>
      <c r="AE47" s="237"/>
      <c r="AF47" s="237"/>
      <c r="AG47" s="237"/>
      <c r="AH47" s="237"/>
      <c r="AI47" s="237"/>
      <c r="AJ47" s="237"/>
      <c r="AK47" s="237"/>
      <c r="AL47" s="237"/>
      <c r="AM47" s="237"/>
      <c r="AN47" s="237"/>
      <c r="AO47" s="237"/>
    </row>
    <row r="48" spans="1:41" ht="20.100000000000001" customHeight="1">
      <c r="A48" s="159"/>
      <c r="B48" s="185"/>
      <c r="C48" s="115" t="s">
        <v>139</v>
      </c>
      <c r="D48" s="380">
        <v>0</v>
      </c>
      <c r="E48" s="381"/>
      <c r="F48" s="382"/>
      <c r="G48" s="360"/>
      <c r="H48" s="236"/>
      <c r="I48" s="239"/>
      <c r="J48" s="288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90"/>
      <c r="V48" s="216"/>
      <c r="W48" s="296"/>
      <c r="X48" s="161"/>
      <c r="Y48" s="161"/>
      <c r="Z48" s="237"/>
      <c r="AA48" s="237"/>
      <c r="AB48" s="237"/>
      <c r="AC48" s="237"/>
      <c r="AD48" s="237"/>
      <c r="AE48" s="237"/>
      <c r="AF48" s="237"/>
      <c r="AG48" s="237"/>
      <c r="AH48" s="237"/>
      <c r="AI48" s="237"/>
      <c r="AJ48" s="237"/>
      <c r="AK48" s="237"/>
      <c r="AL48" s="237"/>
      <c r="AM48" s="237"/>
      <c r="AN48" s="237"/>
      <c r="AO48" s="237"/>
    </row>
    <row r="49" spans="1:41" ht="20.100000000000001" customHeight="1" thickBot="1">
      <c r="A49" s="159"/>
      <c r="B49" s="186"/>
      <c r="C49" s="116" t="s">
        <v>140</v>
      </c>
      <c r="D49" s="346">
        <v>0</v>
      </c>
      <c r="E49" s="347"/>
      <c r="F49" s="348"/>
      <c r="G49" s="360"/>
      <c r="H49" s="236"/>
      <c r="I49" s="240"/>
      <c r="J49" s="291"/>
      <c r="K49" s="292"/>
      <c r="L49" s="292"/>
      <c r="M49" s="292"/>
      <c r="N49" s="292"/>
      <c r="O49" s="292"/>
      <c r="P49" s="292"/>
      <c r="Q49" s="292"/>
      <c r="R49" s="292"/>
      <c r="S49" s="292"/>
      <c r="T49" s="292"/>
      <c r="U49" s="293"/>
      <c r="V49" s="294"/>
      <c r="W49" s="297"/>
      <c r="X49" s="161"/>
      <c r="Y49" s="161"/>
      <c r="Z49" s="237"/>
      <c r="AA49" s="237"/>
      <c r="AB49" s="237"/>
      <c r="AC49" s="237"/>
      <c r="AD49" s="237"/>
      <c r="AE49" s="237"/>
      <c r="AF49" s="237"/>
      <c r="AG49" s="237"/>
      <c r="AH49" s="237"/>
      <c r="AI49" s="237"/>
      <c r="AJ49" s="237"/>
      <c r="AK49" s="237"/>
      <c r="AL49" s="237"/>
      <c r="AM49" s="237"/>
      <c r="AN49" s="237"/>
      <c r="AO49" s="237"/>
    </row>
    <row r="50" spans="1:41" ht="20.100000000000001" customHeight="1">
      <c r="A50" s="159"/>
      <c r="B50" s="361"/>
      <c r="C50" s="361"/>
      <c r="D50" s="362"/>
      <c r="E50" s="362"/>
      <c r="F50" s="362"/>
      <c r="G50" s="360"/>
      <c r="H50" s="236"/>
      <c r="I50" s="298"/>
      <c r="J50" s="298"/>
      <c r="K50" s="298"/>
      <c r="L50" s="298"/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/>
      <c r="X50" s="161"/>
      <c r="Y50" s="161"/>
      <c r="Z50" s="237"/>
      <c r="AA50" s="237"/>
      <c r="AB50" s="237"/>
      <c r="AC50" s="237"/>
      <c r="AD50" s="237"/>
      <c r="AE50" s="237"/>
      <c r="AF50" s="237"/>
      <c r="AG50" s="237"/>
      <c r="AH50" s="237"/>
      <c r="AI50" s="237"/>
      <c r="AJ50" s="237"/>
      <c r="AK50" s="237"/>
      <c r="AL50" s="237"/>
      <c r="AM50" s="237"/>
      <c r="AN50" s="237"/>
      <c r="AO50" s="237"/>
    </row>
    <row r="51" spans="1:41" ht="20.100000000000001" customHeight="1">
      <c r="A51" s="159"/>
      <c r="B51" s="362"/>
      <c r="C51" s="362"/>
      <c r="D51" s="362"/>
      <c r="E51" s="362"/>
      <c r="F51" s="362"/>
      <c r="G51" s="360"/>
      <c r="H51" s="236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W51" s="299"/>
      <c r="X51" s="161"/>
      <c r="Y51" s="161"/>
      <c r="Z51" s="237"/>
      <c r="AA51" s="237"/>
      <c r="AB51" s="237"/>
      <c r="AC51" s="237"/>
      <c r="AD51" s="237"/>
      <c r="AE51" s="237"/>
      <c r="AF51" s="237"/>
      <c r="AG51" s="237"/>
      <c r="AH51" s="237"/>
      <c r="AI51" s="237"/>
      <c r="AJ51" s="237"/>
      <c r="AK51" s="237"/>
      <c r="AL51" s="237"/>
      <c r="AM51" s="237"/>
      <c r="AN51" s="237"/>
      <c r="AO51" s="237"/>
    </row>
    <row r="52" spans="1:41" ht="20.100000000000001" customHeight="1">
      <c r="A52" s="159"/>
      <c r="B52" s="363"/>
      <c r="C52" s="363"/>
      <c r="D52" s="363"/>
      <c r="E52" s="363"/>
      <c r="F52" s="363"/>
      <c r="G52" s="360"/>
      <c r="H52" s="236"/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161"/>
      <c r="Y52" s="161"/>
      <c r="Z52" s="364"/>
      <c r="AA52" s="364"/>
      <c r="AB52" s="364"/>
      <c r="AC52" s="364"/>
      <c r="AD52" s="364"/>
      <c r="AE52" s="364"/>
      <c r="AF52" s="364"/>
      <c r="AG52" s="364"/>
      <c r="AH52" s="364"/>
      <c r="AI52" s="364"/>
      <c r="AJ52" s="364"/>
      <c r="AK52" s="364"/>
      <c r="AL52" s="364"/>
      <c r="AM52" s="364"/>
      <c r="AN52" s="364"/>
      <c r="AO52" s="237"/>
    </row>
    <row r="53" spans="1:41" ht="20.100000000000001" customHeight="1" thickBot="1">
      <c r="A53" s="159"/>
      <c r="B53" s="241" t="s">
        <v>27</v>
      </c>
      <c r="C53" s="379"/>
      <c r="D53" s="369"/>
      <c r="E53" s="369"/>
      <c r="F53" s="370"/>
      <c r="G53" s="360"/>
      <c r="H53" s="236"/>
      <c r="I53" s="269" t="s">
        <v>27</v>
      </c>
      <c r="J53" s="177" t="s">
        <v>28</v>
      </c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9"/>
      <c r="V53" s="204" t="s">
        <v>33</v>
      </c>
      <c r="W53" s="205"/>
      <c r="X53" s="161"/>
      <c r="Y53" s="161"/>
      <c r="Z53" s="269" t="s">
        <v>27</v>
      </c>
      <c r="AA53" s="177" t="s">
        <v>28</v>
      </c>
      <c r="AB53" s="178"/>
      <c r="AC53" s="178"/>
      <c r="AD53" s="178"/>
      <c r="AE53" s="178"/>
      <c r="AF53" s="178"/>
      <c r="AG53" s="178"/>
      <c r="AH53" s="178"/>
      <c r="AI53" s="178"/>
      <c r="AJ53" s="178"/>
      <c r="AK53" s="178"/>
      <c r="AL53" s="179"/>
      <c r="AM53" s="204" t="s">
        <v>33</v>
      </c>
      <c r="AN53" s="205"/>
      <c r="AO53" s="237"/>
    </row>
    <row r="54" spans="1:41" ht="20.100000000000001" customHeight="1" thickBot="1">
      <c r="A54" s="159"/>
      <c r="B54" s="242"/>
      <c r="C54" s="128" t="s">
        <v>167</v>
      </c>
      <c r="D54" s="423">
        <v>45658</v>
      </c>
      <c r="E54" s="424"/>
      <c r="F54" s="425"/>
      <c r="G54" s="360"/>
      <c r="H54" s="236"/>
      <c r="I54" s="270"/>
      <c r="J54" s="210" t="s">
        <v>100</v>
      </c>
      <c r="K54" s="211"/>
      <c r="L54" s="117" t="str">
        <f>"1회차 ('"&amp;YEAR(D66)-2000&amp;"년)"</f>
        <v>1회차 ('25년)</v>
      </c>
      <c r="M54" s="119" t="str">
        <f>"2회차 ('"&amp;YEAR(D67)-2000&amp;"년)"</f>
        <v>2회차 ('25년)</v>
      </c>
      <c r="N54" s="119" t="str">
        <f>"3회차 ('"&amp;YEAR(D68)-2000&amp;"년)"</f>
        <v>3회차 ('25년)</v>
      </c>
      <c r="O54" s="120" t="str">
        <f>"4회차 ('"&amp;YEAR(D69)-2000&amp;"년)"</f>
        <v>4회차 ('25년)</v>
      </c>
      <c r="P54" s="120" t="str">
        <f>"5회차 ('"&amp;YEAR(D70)-2000&amp;"년)"</f>
        <v>5회차 ('25년)</v>
      </c>
      <c r="Q54" s="121" t="str">
        <f>"6회차 ('"&amp;YEAR(D71)-2000&amp;"년)"</f>
        <v>6회차 ('25년)</v>
      </c>
      <c r="R54" s="119" t="str">
        <f>"7회차 ('"&amp;YEAR(D72)-2000&amp;"년)"</f>
        <v>7회차 ('25년)</v>
      </c>
      <c r="S54" s="119" t="str">
        <f>"8회차 ('"&amp;YEAR(D73)-2000&amp;"년)"</f>
        <v>8회차 ('25년)</v>
      </c>
      <c r="T54" s="119" t="str">
        <f>"9회차 ('"&amp;YEAR(D74)-2000&amp;"년)"</f>
        <v>9회차 ('25년)</v>
      </c>
      <c r="U54" s="118" t="str">
        <f>"10회차 ('"&amp;YEAR(D75)-2000&amp;"년)"</f>
        <v>10회차 ('25년)</v>
      </c>
      <c r="V54" s="206"/>
      <c r="W54" s="207"/>
      <c r="X54" s="161"/>
      <c r="Y54" s="161"/>
      <c r="Z54" s="270"/>
      <c r="AA54" s="210" t="s">
        <v>70</v>
      </c>
      <c r="AB54" s="211"/>
      <c r="AC54" s="45" t="s">
        <v>121</v>
      </c>
      <c r="AD54" s="46" t="s">
        <v>122</v>
      </c>
      <c r="AE54" s="46" t="s">
        <v>123</v>
      </c>
      <c r="AF54" s="46" t="s">
        <v>124</v>
      </c>
      <c r="AG54" s="46" t="s">
        <v>125</v>
      </c>
      <c r="AH54" s="46" t="s">
        <v>126</v>
      </c>
      <c r="AI54" s="46" t="s">
        <v>127</v>
      </c>
      <c r="AJ54" s="46" t="s">
        <v>128</v>
      </c>
      <c r="AK54" s="46" t="s">
        <v>129</v>
      </c>
      <c r="AL54" s="47" t="s">
        <v>130</v>
      </c>
      <c r="AM54" s="206"/>
      <c r="AN54" s="207"/>
      <c r="AO54" s="237"/>
    </row>
    <row r="55" spans="1:41" ht="20.100000000000001" customHeight="1" thickBot="1">
      <c r="A55" s="159"/>
      <c r="B55" s="242"/>
      <c r="C55" s="108" t="s">
        <v>98</v>
      </c>
      <c r="D55" s="392" t="s">
        <v>99</v>
      </c>
      <c r="E55" s="393"/>
      <c r="F55" s="129" t="s">
        <v>97</v>
      </c>
      <c r="G55" s="360"/>
      <c r="H55" s="236"/>
      <c r="I55" s="270"/>
      <c r="J55" s="231" t="s">
        <v>111</v>
      </c>
      <c r="K55" s="232"/>
      <c r="L55" s="227">
        <f>IF(D66-$D$54&gt;0, D66-$D$54, "소급 적용")</f>
        <v>64</v>
      </c>
      <c r="M55" s="229">
        <f>D67-$D$54</f>
        <v>64</v>
      </c>
      <c r="N55" s="229">
        <f>D68-$D$54</f>
        <v>64</v>
      </c>
      <c r="O55" s="229">
        <f>D69-$D$54</f>
        <v>64</v>
      </c>
      <c r="P55" s="229">
        <f>D70-$D$54</f>
        <v>64</v>
      </c>
      <c r="Q55" s="229">
        <f>D71-$D$54</f>
        <v>64</v>
      </c>
      <c r="R55" s="229">
        <f>D72-$D$54</f>
        <v>64</v>
      </c>
      <c r="S55" s="229">
        <f>D73-$D$54</f>
        <v>64</v>
      </c>
      <c r="T55" s="229">
        <f>D74-$D$54</f>
        <v>64</v>
      </c>
      <c r="U55" s="286">
        <f>D75-$D$54</f>
        <v>64</v>
      </c>
      <c r="V55" s="206"/>
      <c r="W55" s="207"/>
      <c r="X55" s="161"/>
      <c r="Y55" s="161"/>
      <c r="Z55" s="270"/>
      <c r="AA55" s="231" t="s">
        <v>71</v>
      </c>
      <c r="AB55" s="232"/>
      <c r="AC55" s="227" t="str">
        <f>($D$16)&amp;" 년"</f>
        <v>2025 년</v>
      </c>
      <c r="AD55" s="229" t="str">
        <f>($D$16+1)&amp;" 년"</f>
        <v>2026 년</v>
      </c>
      <c r="AE55" s="229" t="str">
        <f>($D$16+2)&amp;" 년"</f>
        <v>2027 년</v>
      </c>
      <c r="AF55" s="229" t="str">
        <f>($D$16+3)&amp;" 년"</f>
        <v>2028 년</v>
      </c>
      <c r="AG55" s="229" t="str">
        <f>($D$16+4)&amp;" 년"</f>
        <v>2029 년</v>
      </c>
      <c r="AH55" s="229" t="str">
        <f>($D$16+5)&amp;" 년"</f>
        <v>2030 년</v>
      </c>
      <c r="AI55" s="229" t="str">
        <f>($D$16+6)&amp;" 년"</f>
        <v>2031 년</v>
      </c>
      <c r="AJ55" s="229" t="str">
        <f>($D$16+7)&amp;" 년"</f>
        <v>2032 년</v>
      </c>
      <c r="AK55" s="229" t="str">
        <f>($D$16+8)&amp;" 년"</f>
        <v>2033 년</v>
      </c>
      <c r="AL55" s="286" t="str">
        <f>($D$16+9)&amp;" 년"</f>
        <v>2034 년</v>
      </c>
      <c r="AM55" s="206"/>
      <c r="AN55" s="207"/>
      <c r="AO55" s="237"/>
    </row>
    <row r="56" spans="1:41" ht="20.100000000000001" customHeight="1">
      <c r="A56" s="159"/>
      <c r="B56" s="242"/>
      <c r="C56" s="115" t="s">
        <v>82</v>
      </c>
      <c r="D56" s="400">
        <v>0</v>
      </c>
      <c r="E56" s="401"/>
      <c r="F56" s="125">
        <v>9452</v>
      </c>
      <c r="G56" s="360"/>
      <c r="H56" s="236"/>
      <c r="I56" s="270"/>
      <c r="J56" s="191"/>
      <c r="K56" s="233"/>
      <c r="L56" s="228"/>
      <c r="M56" s="230"/>
      <c r="N56" s="230"/>
      <c r="O56" s="230"/>
      <c r="P56" s="230"/>
      <c r="Q56" s="230"/>
      <c r="R56" s="230"/>
      <c r="S56" s="230"/>
      <c r="T56" s="230"/>
      <c r="U56" s="287"/>
      <c r="V56" s="208"/>
      <c r="W56" s="209"/>
      <c r="X56" s="161"/>
      <c r="Y56" s="161"/>
      <c r="Z56" s="270"/>
      <c r="AA56" s="191"/>
      <c r="AB56" s="233"/>
      <c r="AC56" s="228"/>
      <c r="AD56" s="230"/>
      <c r="AE56" s="230"/>
      <c r="AF56" s="230"/>
      <c r="AG56" s="230"/>
      <c r="AH56" s="230"/>
      <c r="AI56" s="230"/>
      <c r="AJ56" s="230"/>
      <c r="AK56" s="230"/>
      <c r="AL56" s="287"/>
      <c r="AM56" s="208"/>
      <c r="AN56" s="209"/>
      <c r="AO56" s="237"/>
    </row>
    <row r="57" spans="1:41" ht="20.100000000000001" customHeight="1">
      <c r="A57" s="159"/>
      <c r="B57" s="242"/>
      <c r="C57" s="115" t="s">
        <v>83</v>
      </c>
      <c r="D57" s="380">
        <v>0</v>
      </c>
      <c r="E57" s="382"/>
      <c r="F57" s="110">
        <f>$F$56</f>
        <v>9452</v>
      </c>
      <c r="G57" s="360"/>
      <c r="H57" s="236"/>
      <c r="I57" s="270"/>
      <c r="J57" s="231" t="s">
        <v>25</v>
      </c>
      <c r="K57" s="232"/>
      <c r="L57" s="258">
        <f t="shared" ref="L57:U57" si="28">$D$15/10</f>
        <v>0</v>
      </c>
      <c r="M57" s="260">
        <f t="shared" si="28"/>
        <v>0</v>
      </c>
      <c r="N57" s="260">
        <f t="shared" si="28"/>
        <v>0</v>
      </c>
      <c r="O57" s="260">
        <f t="shared" si="28"/>
        <v>0</v>
      </c>
      <c r="P57" s="260">
        <f t="shared" si="28"/>
        <v>0</v>
      </c>
      <c r="Q57" s="260">
        <f t="shared" si="28"/>
        <v>0</v>
      </c>
      <c r="R57" s="260">
        <f t="shared" si="28"/>
        <v>0</v>
      </c>
      <c r="S57" s="262">
        <f t="shared" si="28"/>
        <v>0</v>
      </c>
      <c r="T57" s="260">
        <f t="shared" si="28"/>
        <v>0</v>
      </c>
      <c r="U57" s="264">
        <f t="shared" si="28"/>
        <v>0</v>
      </c>
      <c r="V57" s="324">
        <f>SUM(L61:U62)</f>
        <v>0</v>
      </c>
      <c r="W57" s="295" t="s">
        <v>43</v>
      </c>
      <c r="X57" s="161"/>
      <c r="Y57" s="161"/>
      <c r="Z57" s="270"/>
      <c r="AA57" s="231" t="s">
        <v>25</v>
      </c>
      <c r="AB57" s="232"/>
      <c r="AC57" s="258">
        <f t="shared" ref="AC57:AL57" si="29">$D$15/10</f>
        <v>0</v>
      </c>
      <c r="AD57" s="260">
        <f t="shared" si="29"/>
        <v>0</v>
      </c>
      <c r="AE57" s="260">
        <f t="shared" si="29"/>
        <v>0</v>
      </c>
      <c r="AF57" s="260">
        <f t="shared" si="29"/>
        <v>0</v>
      </c>
      <c r="AG57" s="260">
        <f t="shared" si="29"/>
        <v>0</v>
      </c>
      <c r="AH57" s="260">
        <f t="shared" si="29"/>
        <v>0</v>
      </c>
      <c r="AI57" s="260">
        <f t="shared" si="29"/>
        <v>0</v>
      </c>
      <c r="AJ57" s="260">
        <f t="shared" si="29"/>
        <v>0</v>
      </c>
      <c r="AK57" s="260">
        <f t="shared" si="29"/>
        <v>0</v>
      </c>
      <c r="AL57" s="264">
        <f t="shared" si="29"/>
        <v>0</v>
      </c>
      <c r="AM57" s="324">
        <f>SUM(AC61:AL62)</f>
        <v>0</v>
      </c>
      <c r="AN57" s="295" t="s">
        <v>43</v>
      </c>
      <c r="AO57" s="237"/>
    </row>
    <row r="58" spans="1:41" ht="20.100000000000001" customHeight="1">
      <c r="A58" s="159"/>
      <c r="B58" s="242"/>
      <c r="C58" s="115" t="s">
        <v>84</v>
      </c>
      <c r="D58" s="380">
        <v>0</v>
      </c>
      <c r="E58" s="382"/>
      <c r="F58" s="111">
        <f t="shared" ref="F58:F65" si="30">$F$56</f>
        <v>9452</v>
      </c>
      <c r="G58" s="360"/>
      <c r="H58" s="236"/>
      <c r="I58" s="270"/>
      <c r="J58" s="191"/>
      <c r="K58" s="233"/>
      <c r="L58" s="259"/>
      <c r="M58" s="261"/>
      <c r="N58" s="261"/>
      <c r="O58" s="261"/>
      <c r="P58" s="261"/>
      <c r="Q58" s="261"/>
      <c r="R58" s="261"/>
      <c r="S58" s="263"/>
      <c r="T58" s="261"/>
      <c r="U58" s="265"/>
      <c r="V58" s="325"/>
      <c r="W58" s="296"/>
      <c r="X58" s="161"/>
      <c r="Y58" s="161"/>
      <c r="Z58" s="270"/>
      <c r="AA58" s="191"/>
      <c r="AB58" s="233"/>
      <c r="AC58" s="259"/>
      <c r="AD58" s="261"/>
      <c r="AE58" s="261"/>
      <c r="AF58" s="261"/>
      <c r="AG58" s="261"/>
      <c r="AH58" s="261"/>
      <c r="AI58" s="261"/>
      <c r="AJ58" s="261"/>
      <c r="AK58" s="261"/>
      <c r="AL58" s="265"/>
      <c r="AM58" s="325"/>
      <c r="AN58" s="296"/>
      <c r="AO58" s="237"/>
    </row>
    <row r="59" spans="1:41" ht="20.100000000000001" customHeight="1">
      <c r="A59" s="159"/>
      <c r="B59" s="242"/>
      <c r="C59" s="115" t="s">
        <v>85</v>
      </c>
      <c r="D59" s="380">
        <v>0</v>
      </c>
      <c r="E59" s="382"/>
      <c r="F59" s="112">
        <f t="shared" si="30"/>
        <v>9452</v>
      </c>
      <c r="G59" s="360"/>
      <c r="H59" s="236"/>
      <c r="I59" s="270"/>
      <c r="J59" s="272" t="s">
        <v>168</v>
      </c>
      <c r="K59" s="273"/>
      <c r="L59" s="276">
        <f t="shared" ref="L59:U59" si="31">($D$13/10)</f>
        <v>0</v>
      </c>
      <c r="M59" s="260">
        <f t="shared" si="31"/>
        <v>0</v>
      </c>
      <c r="N59" s="260">
        <f t="shared" si="31"/>
        <v>0</v>
      </c>
      <c r="O59" s="260">
        <f t="shared" si="31"/>
        <v>0</v>
      </c>
      <c r="P59" s="260">
        <f t="shared" si="31"/>
        <v>0</v>
      </c>
      <c r="Q59" s="260">
        <f t="shared" si="31"/>
        <v>0</v>
      </c>
      <c r="R59" s="260">
        <f t="shared" si="31"/>
        <v>0</v>
      </c>
      <c r="S59" s="262">
        <f t="shared" si="31"/>
        <v>0</v>
      </c>
      <c r="T59" s="260">
        <f t="shared" si="31"/>
        <v>0</v>
      </c>
      <c r="U59" s="264">
        <f t="shared" si="31"/>
        <v>0</v>
      </c>
      <c r="V59" s="325"/>
      <c r="W59" s="296"/>
      <c r="X59" s="161"/>
      <c r="Y59" s="161"/>
      <c r="Z59" s="270"/>
      <c r="AA59" s="272" t="s">
        <v>168</v>
      </c>
      <c r="AB59" s="273"/>
      <c r="AC59" s="258">
        <f t="shared" ref="AC59:AL59" si="32">($D$13/10)</f>
        <v>0</v>
      </c>
      <c r="AD59" s="260">
        <f t="shared" si="32"/>
        <v>0</v>
      </c>
      <c r="AE59" s="260">
        <f t="shared" si="32"/>
        <v>0</v>
      </c>
      <c r="AF59" s="260">
        <f t="shared" si="32"/>
        <v>0</v>
      </c>
      <c r="AG59" s="260">
        <f t="shared" si="32"/>
        <v>0</v>
      </c>
      <c r="AH59" s="260">
        <f t="shared" si="32"/>
        <v>0</v>
      </c>
      <c r="AI59" s="260">
        <f t="shared" si="32"/>
        <v>0</v>
      </c>
      <c r="AJ59" s="260">
        <f t="shared" si="32"/>
        <v>0</v>
      </c>
      <c r="AK59" s="260">
        <f t="shared" si="32"/>
        <v>0</v>
      </c>
      <c r="AL59" s="264">
        <f t="shared" si="32"/>
        <v>0</v>
      </c>
      <c r="AM59" s="325"/>
      <c r="AN59" s="296"/>
      <c r="AO59" s="237"/>
    </row>
    <row r="60" spans="1:41" ht="20.100000000000001" customHeight="1">
      <c r="A60" s="159"/>
      <c r="B60" s="242"/>
      <c r="C60" s="115" t="s">
        <v>86</v>
      </c>
      <c r="D60" s="380">
        <v>0</v>
      </c>
      <c r="E60" s="382"/>
      <c r="F60" s="110">
        <f t="shared" si="30"/>
        <v>9452</v>
      </c>
      <c r="G60" s="360"/>
      <c r="H60" s="236"/>
      <c r="I60" s="270"/>
      <c r="J60" s="274"/>
      <c r="K60" s="275"/>
      <c r="L60" s="277"/>
      <c r="M60" s="261"/>
      <c r="N60" s="261"/>
      <c r="O60" s="261"/>
      <c r="P60" s="261"/>
      <c r="Q60" s="261"/>
      <c r="R60" s="261"/>
      <c r="S60" s="263"/>
      <c r="T60" s="261"/>
      <c r="U60" s="265"/>
      <c r="V60" s="325"/>
      <c r="W60" s="296"/>
      <c r="X60" s="161"/>
      <c r="Y60" s="161"/>
      <c r="Z60" s="270"/>
      <c r="AA60" s="274"/>
      <c r="AB60" s="275"/>
      <c r="AC60" s="259"/>
      <c r="AD60" s="261"/>
      <c r="AE60" s="261"/>
      <c r="AF60" s="261"/>
      <c r="AG60" s="261"/>
      <c r="AH60" s="261"/>
      <c r="AI60" s="261"/>
      <c r="AJ60" s="261"/>
      <c r="AK60" s="261"/>
      <c r="AL60" s="265"/>
      <c r="AM60" s="325"/>
      <c r="AN60" s="296"/>
      <c r="AO60" s="237"/>
    </row>
    <row r="61" spans="1:41" ht="20.100000000000001" customHeight="1">
      <c r="A61" s="159"/>
      <c r="B61" s="242"/>
      <c r="C61" s="115" t="s">
        <v>87</v>
      </c>
      <c r="D61" s="380">
        <v>0</v>
      </c>
      <c r="E61" s="382"/>
      <c r="F61" s="111">
        <f t="shared" si="30"/>
        <v>9452</v>
      </c>
      <c r="G61" s="360"/>
      <c r="H61" s="236"/>
      <c r="I61" s="270"/>
      <c r="J61" s="272" t="s">
        <v>169</v>
      </c>
      <c r="K61" s="273"/>
      <c r="L61" s="278">
        <f>L59*(1+E66/100)^(IF(L55="소급 적용",0,L55)/'산출 Sheet'!D2)</f>
        <v>0</v>
      </c>
      <c r="M61" s="280">
        <f>M59*(1+E67/100)^(IF(M55="소급 적용",0,M55)/'산출 Sheet'!D3)</f>
        <v>0</v>
      </c>
      <c r="N61" s="280">
        <f>N59*(1+E68/100)^(IF(N55="소급 적용",0,N55)/'산출 Sheet'!D4)</f>
        <v>0</v>
      </c>
      <c r="O61" s="280">
        <f>O59*(1+E69/100)^(IF(O55="소급 적용",0,O55)/'산출 Sheet'!D5)</f>
        <v>0</v>
      </c>
      <c r="P61" s="280">
        <f>P59*(1+E70/100)^(IF(P55="소급 적용",0,P55)/'산출 Sheet'!D6)</f>
        <v>0</v>
      </c>
      <c r="Q61" s="280">
        <f>Q59*(1+E71/100)^(IF(Q55="소급 적용",0,Q55)/'산출 Sheet'!D7)</f>
        <v>0</v>
      </c>
      <c r="R61" s="280">
        <f>R59*(1+E72/100)^(IF(R55="소급 적용",0,R55)/'산출 Sheet'!D8)</f>
        <v>0</v>
      </c>
      <c r="S61" s="280">
        <f>S59*(1+E73/100)^(IF(S55="소급 적용",0,S55)/'산출 Sheet'!D9)</f>
        <v>0</v>
      </c>
      <c r="T61" s="280">
        <f>T59*(1+E74/100)^(IF(T55="소급 적용",0,T55)/'산출 Sheet'!D11)</f>
        <v>0</v>
      </c>
      <c r="U61" s="280">
        <f>U59*(1+E75/100)^(IF(U55="소급 적용",0,U55)/'산출 Sheet'!D11)</f>
        <v>0</v>
      </c>
      <c r="V61" s="325"/>
      <c r="W61" s="296"/>
      <c r="X61" s="161"/>
      <c r="Y61" s="161"/>
      <c r="Z61" s="270"/>
      <c r="AA61" s="231" t="s">
        <v>164</v>
      </c>
      <c r="AB61" s="232"/>
      <c r="AC61" s="258">
        <f>(AC$59*POWER(1+$F66/100,$E$55))</f>
        <v>0</v>
      </c>
      <c r="AD61" s="260">
        <f>(AD$59*POWER(1+$F67/100,$E$55+1))</f>
        <v>0</v>
      </c>
      <c r="AE61" s="260">
        <f>(AE$59*POWER(1+$F68/100,$E$55+2))</f>
        <v>0</v>
      </c>
      <c r="AF61" s="260">
        <f>(AF$59*POWER(1+$F69/100,$E$55+3))</f>
        <v>0</v>
      </c>
      <c r="AG61" s="260">
        <f>(AG$59*POWER(1+$F70/100,$E$55+4))</f>
        <v>0</v>
      </c>
      <c r="AH61" s="260">
        <f>(AH$59*POWER(1+$F71/100,$E$55+5))</f>
        <v>0</v>
      </c>
      <c r="AI61" s="260">
        <f>(AI$59*POWER(1+$F72/100,$E$55+6))</f>
        <v>0</v>
      </c>
      <c r="AJ61" s="260">
        <f>(AJ$59*POWER(1+$F73/100,$E$55+7))</f>
        <v>0</v>
      </c>
      <c r="AK61" s="260">
        <f>(AK$59*POWER(1+$F74/100,$E$55+8))</f>
        <v>0</v>
      </c>
      <c r="AL61" s="264">
        <f>(AL$59*POWER(1+$F75/100,$E$55+9))</f>
        <v>0</v>
      </c>
      <c r="AM61" s="325"/>
      <c r="AN61" s="296"/>
      <c r="AO61" s="237"/>
    </row>
    <row r="62" spans="1:41" ht="20.100000000000001" customHeight="1">
      <c r="A62" s="159"/>
      <c r="B62" s="242"/>
      <c r="C62" s="115" t="s">
        <v>88</v>
      </c>
      <c r="D62" s="380">
        <v>0</v>
      </c>
      <c r="E62" s="382"/>
      <c r="F62" s="112">
        <f t="shared" si="30"/>
        <v>9452</v>
      </c>
      <c r="G62" s="360"/>
      <c r="H62" s="236"/>
      <c r="I62" s="270"/>
      <c r="J62" s="274"/>
      <c r="K62" s="275"/>
      <c r="L62" s="279"/>
      <c r="M62" s="281"/>
      <c r="N62" s="281"/>
      <c r="O62" s="281"/>
      <c r="P62" s="281"/>
      <c r="Q62" s="281"/>
      <c r="R62" s="281"/>
      <c r="S62" s="281"/>
      <c r="T62" s="281"/>
      <c r="U62" s="281"/>
      <c r="V62" s="326"/>
      <c r="W62" s="323"/>
      <c r="X62" s="161"/>
      <c r="Y62" s="161"/>
      <c r="Z62" s="270"/>
      <c r="AA62" s="191"/>
      <c r="AB62" s="233"/>
      <c r="AC62" s="259"/>
      <c r="AD62" s="261"/>
      <c r="AE62" s="261"/>
      <c r="AF62" s="261"/>
      <c r="AG62" s="261"/>
      <c r="AH62" s="261"/>
      <c r="AI62" s="261"/>
      <c r="AJ62" s="261"/>
      <c r="AK62" s="261"/>
      <c r="AL62" s="265"/>
      <c r="AM62" s="326"/>
      <c r="AN62" s="323"/>
      <c r="AO62" s="237"/>
    </row>
    <row r="63" spans="1:41" ht="20.100000000000001" customHeight="1">
      <c r="A63" s="159"/>
      <c r="B63" s="242"/>
      <c r="C63" s="115" t="s">
        <v>89</v>
      </c>
      <c r="D63" s="380">
        <v>0</v>
      </c>
      <c r="E63" s="382"/>
      <c r="F63" s="110">
        <f t="shared" si="30"/>
        <v>9452</v>
      </c>
      <c r="G63" s="360"/>
      <c r="H63" s="236"/>
      <c r="I63" s="270"/>
      <c r="J63" s="231" t="s">
        <v>76</v>
      </c>
      <c r="K63" s="232"/>
      <c r="L63" s="282">
        <f>D56</f>
        <v>0</v>
      </c>
      <c r="M63" s="284">
        <f>D57</f>
        <v>0</v>
      </c>
      <c r="N63" s="284">
        <f>D58</f>
        <v>0</v>
      </c>
      <c r="O63" s="284">
        <f>D59</f>
        <v>0</v>
      </c>
      <c r="P63" s="284">
        <f>D60</f>
        <v>0</v>
      </c>
      <c r="Q63" s="284">
        <f>D61</f>
        <v>0</v>
      </c>
      <c r="R63" s="284">
        <f>D62</f>
        <v>0</v>
      </c>
      <c r="S63" s="301">
        <f>D63</f>
        <v>0</v>
      </c>
      <c r="T63" s="284">
        <f>D64</f>
        <v>0</v>
      </c>
      <c r="U63" s="303">
        <f>D65</f>
        <v>0</v>
      </c>
      <c r="V63" s="317" t="s">
        <v>59</v>
      </c>
      <c r="W63" s="318"/>
      <c r="X63" s="161"/>
      <c r="Y63" s="161"/>
      <c r="Z63" s="270"/>
      <c r="AA63" s="231" t="s">
        <v>76</v>
      </c>
      <c r="AB63" s="232"/>
      <c r="AC63" s="282">
        <f>F56</f>
        <v>9452</v>
      </c>
      <c r="AD63" s="284">
        <f>F57</f>
        <v>9452</v>
      </c>
      <c r="AE63" s="284">
        <f>F58</f>
        <v>9452</v>
      </c>
      <c r="AF63" s="284">
        <f>F59</f>
        <v>9452</v>
      </c>
      <c r="AG63" s="284">
        <f>F60</f>
        <v>9452</v>
      </c>
      <c r="AH63" s="284">
        <f>F61</f>
        <v>9452</v>
      </c>
      <c r="AI63" s="284">
        <f>F62</f>
        <v>9452</v>
      </c>
      <c r="AJ63" s="284">
        <f>F63</f>
        <v>9452</v>
      </c>
      <c r="AK63" s="284">
        <f>F64</f>
        <v>9452</v>
      </c>
      <c r="AL63" s="303">
        <f>F65</f>
        <v>9452</v>
      </c>
      <c r="AM63" s="317" t="s">
        <v>34</v>
      </c>
      <c r="AN63" s="318"/>
      <c r="AO63" s="237"/>
    </row>
    <row r="64" spans="1:41" ht="20.100000000000001" customHeight="1">
      <c r="A64" s="159"/>
      <c r="B64" s="242"/>
      <c r="C64" s="115" t="s">
        <v>90</v>
      </c>
      <c r="D64" s="380">
        <v>0</v>
      </c>
      <c r="E64" s="382"/>
      <c r="F64" s="111">
        <f t="shared" si="30"/>
        <v>9452</v>
      </c>
      <c r="G64" s="360"/>
      <c r="H64" s="236"/>
      <c r="I64" s="270"/>
      <c r="J64" s="191"/>
      <c r="K64" s="233"/>
      <c r="L64" s="283"/>
      <c r="M64" s="285"/>
      <c r="N64" s="285"/>
      <c r="O64" s="285"/>
      <c r="P64" s="285"/>
      <c r="Q64" s="285"/>
      <c r="R64" s="285"/>
      <c r="S64" s="302"/>
      <c r="T64" s="285"/>
      <c r="U64" s="304"/>
      <c r="V64" s="319"/>
      <c r="W64" s="320"/>
      <c r="X64" s="161"/>
      <c r="Y64" s="161"/>
      <c r="Z64" s="270"/>
      <c r="AA64" s="191"/>
      <c r="AB64" s="233"/>
      <c r="AC64" s="283"/>
      <c r="AD64" s="285"/>
      <c r="AE64" s="285"/>
      <c r="AF64" s="285"/>
      <c r="AG64" s="285"/>
      <c r="AH64" s="285"/>
      <c r="AI64" s="285"/>
      <c r="AJ64" s="285"/>
      <c r="AK64" s="285"/>
      <c r="AL64" s="304"/>
      <c r="AM64" s="319"/>
      <c r="AN64" s="320"/>
      <c r="AO64" s="237"/>
    </row>
    <row r="65" spans="1:41" ht="20.100000000000001" customHeight="1">
      <c r="A65" s="159"/>
      <c r="B65" s="242"/>
      <c r="C65" s="115" t="s">
        <v>91</v>
      </c>
      <c r="D65" s="380">
        <v>0</v>
      </c>
      <c r="E65" s="382"/>
      <c r="F65" s="112">
        <f t="shared" si="30"/>
        <v>9452</v>
      </c>
      <c r="G65" s="360"/>
      <c r="H65" s="236"/>
      <c r="I65" s="270"/>
      <c r="J65" s="212" t="s">
        <v>157</v>
      </c>
      <c r="K65" s="305" t="s">
        <v>77</v>
      </c>
      <c r="L65" s="308" t="e">
        <f>(L$61/L$63)</f>
        <v>#DIV/0!</v>
      </c>
      <c r="M65" s="311" t="e">
        <f t="shared" ref="M65:T65" si="33">(M$61/M$63)</f>
        <v>#DIV/0!</v>
      </c>
      <c r="N65" s="311" t="e">
        <f t="shared" si="33"/>
        <v>#DIV/0!</v>
      </c>
      <c r="O65" s="327" t="e">
        <f t="shared" si="33"/>
        <v>#DIV/0!</v>
      </c>
      <c r="P65" s="327" t="e">
        <f t="shared" si="33"/>
        <v>#DIV/0!</v>
      </c>
      <c r="Q65" s="327" t="e">
        <f t="shared" si="33"/>
        <v>#DIV/0!</v>
      </c>
      <c r="R65" s="327" t="e">
        <f t="shared" si="33"/>
        <v>#DIV/0!</v>
      </c>
      <c r="S65" s="327" t="e">
        <f t="shared" si="33"/>
        <v>#DIV/0!</v>
      </c>
      <c r="T65" s="327" t="e">
        <f t="shared" si="33"/>
        <v>#DIV/0!</v>
      </c>
      <c r="U65" s="329" t="e">
        <f>(U$61/U$63)</f>
        <v>#DIV/0!</v>
      </c>
      <c r="V65" s="319"/>
      <c r="W65" s="320"/>
      <c r="X65" s="161"/>
      <c r="Y65" s="161"/>
      <c r="Z65" s="270"/>
      <c r="AA65" s="212" t="s">
        <v>156</v>
      </c>
      <c r="AB65" s="305" t="s">
        <v>77</v>
      </c>
      <c r="AC65" s="308">
        <f>(AC$61/AC$63)</f>
        <v>0</v>
      </c>
      <c r="AD65" s="311">
        <f t="shared" ref="AD65:AK65" si="34">(AD$61/AD$63)</f>
        <v>0</v>
      </c>
      <c r="AE65" s="311">
        <f t="shared" si="34"/>
        <v>0</v>
      </c>
      <c r="AF65" s="327">
        <f t="shared" si="34"/>
        <v>0</v>
      </c>
      <c r="AG65" s="327">
        <f t="shared" si="34"/>
        <v>0</v>
      </c>
      <c r="AH65" s="327">
        <f t="shared" si="34"/>
        <v>0</v>
      </c>
      <c r="AI65" s="327">
        <f t="shared" si="34"/>
        <v>0</v>
      </c>
      <c r="AJ65" s="327">
        <f t="shared" si="34"/>
        <v>0</v>
      </c>
      <c r="AK65" s="327">
        <f t="shared" si="34"/>
        <v>0</v>
      </c>
      <c r="AL65" s="329">
        <f>(AL$61/AL$63)</f>
        <v>0</v>
      </c>
      <c r="AM65" s="319"/>
      <c r="AN65" s="320"/>
      <c r="AO65" s="237"/>
    </row>
    <row r="66" spans="1:41" ht="20.100000000000001" customHeight="1">
      <c r="A66" s="159"/>
      <c r="B66" s="242"/>
      <c r="C66" s="115" t="s">
        <v>110</v>
      </c>
      <c r="D66" s="130">
        <v>45722</v>
      </c>
      <c r="E66" s="123">
        <v>0</v>
      </c>
      <c r="F66" s="113">
        <v>0</v>
      </c>
      <c r="G66" s="360"/>
      <c r="H66" s="236"/>
      <c r="I66" s="270"/>
      <c r="J66" s="213"/>
      <c r="K66" s="307"/>
      <c r="L66" s="309"/>
      <c r="M66" s="312"/>
      <c r="N66" s="312"/>
      <c r="O66" s="328"/>
      <c r="P66" s="328"/>
      <c r="Q66" s="328"/>
      <c r="R66" s="328"/>
      <c r="S66" s="328"/>
      <c r="T66" s="328"/>
      <c r="U66" s="330"/>
      <c r="V66" s="321"/>
      <c r="W66" s="322"/>
      <c r="X66" s="161"/>
      <c r="Y66" s="161"/>
      <c r="Z66" s="270"/>
      <c r="AA66" s="213"/>
      <c r="AB66" s="307"/>
      <c r="AC66" s="309"/>
      <c r="AD66" s="312"/>
      <c r="AE66" s="312"/>
      <c r="AF66" s="328"/>
      <c r="AG66" s="328"/>
      <c r="AH66" s="328"/>
      <c r="AI66" s="328"/>
      <c r="AJ66" s="328"/>
      <c r="AK66" s="328"/>
      <c r="AL66" s="330"/>
      <c r="AM66" s="321"/>
      <c r="AN66" s="322"/>
      <c r="AO66" s="237"/>
    </row>
    <row r="67" spans="1:41" ht="20.100000000000001" customHeight="1">
      <c r="A67" s="159"/>
      <c r="B67" s="242"/>
      <c r="C67" s="115" t="s">
        <v>101</v>
      </c>
      <c r="D67" s="130">
        <v>45722</v>
      </c>
      <c r="E67" s="123">
        <v>0</v>
      </c>
      <c r="F67" s="113">
        <v>0</v>
      </c>
      <c r="G67" s="360"/>
      <c r="H67" s="236"/>
      <c r="I67" s="270"/>
      <c r="J67" s="213"/>
      <c r="K67" s="305" t="s">
        <v>78</v>
      </c>
      <c r="L67" s="308" t="e">
        <f>L65</f>
        <v>#DIV/0!</v>
      </c>
      <c r="M67" s="311" t="e">
        <f t="shared" ref="M67:U67" si="35">L67+M65</f>
        <v>#DIV/0!</v>
      </c>
      <c r="N67" s="311" t="e">
        <f t="shared" si="35"/>
        <v>#DIV/0!</v>
      </c>
      <c r="O67" s="327" t="e">
        <f t="shared" si="35"/>
        <v>#DIV/0!</v>
      </c>
      <c r="P67" s="327" t="e">
        <f t="shared" si="35"/>
        <v>#DIV/0!</v>
      </c>
      <c r="Q67" s="327" t="e">
        <f t="shared" si="35"/>
        <v>#DIV/0!</v>
      </c>
      <c r="R67" s="327" t="e">
        <f t="shared" si="35"/>
        <v>#DIV/0!</v>
      </c>
      <c r="S67" s="327" t="e">
        <f t="shared" si="35"/>
        <v>#DIV/0!</v>
      </c>
      <c r="T67" s="327" t="e">
        <f t="shared" si="35"/>
        <v>#DIV/0!</v>
      </c>
      <c r="U67" s="329" t="e">
        <f t="shared" si="35"/>
        <v>#DIV/0!</v>
      </c>
      <c r="V67" s="212" t="e">
        <f>L65*L63+M65*M63+N65*N63+O65*O63+P65*P63+Q65*Q63+R65*R63+S65*S63+T65*T63+U65*U63</f>
        <v>#DIV/0!</v>
      </c>
      <c r="W67" s="314" t="s">
        <v>58</v>
      </c>
      <c r="X67" s="161"/>
      <c r="Y67" s="161"/>
      <c r="Z67" s="270"/>
      <c r="AA67" s="213"/>
      <c r="AB67" s="305" t="s">
        <v>78</v>
      </c>
      <c r="AC67" s="308">
        <f>AC65</f>
        <v>0</v>
      </c>
      <c r="AD67" s="311">
        <f t="shared" ref="AD67:AL67" si="36">AC67+AD65</f>
        <v>0</v>
      </c>
      <c r="AE67" s="311">
        <f t="shared" si="36"/>
        <v>0</v>
      </c>
      <c r="AF67" s="327">
        <f t="shared" si="36"/>
        <v>0</v>
      </c>
      <c r="AG67" s="327">
        <f t="shared" si="36"/>
        <v>0</v>
      </c>
      <c r="AH67" s="327">
        <f t="shared" si="36"/>
        <v>0</v>
      </c>
      <c r="AI67" s="327">
        <f t="shared" si="36"/>
        <v>0</v>
      </c>
      <c r="AJ67" s="327">
        <f t="shared" si="36"/>
        <v>0</v>
      </c>
      <c r="AK67" s="327">
        <f t="shared" si="36"/>
        <v>0</v>
      </c>
      <c r="AL67" s="329">
        <f t="shared" si="36"/>
        <v>0</v>
      </c>
      <c r="AM67" s="212">
        <f>AC65*AC63+AD65*AD63+AE65*AE63+AF65*AF63+AG65*AG63+AH65*AH63+AI65*AI63+AJ65*AJ63+AK65*AK63+AL65*AL63</f>
        <v>0</v>
      </c>
      <c r="AN67" s="314" t="s">
        <v>43</v>
      </c>
      <c r="AO67" s="237"/>
    </row>
    <row r="68" spans="1:41" ht="20.100000000000001" customHeight="1">
      <c r="A68" s="159"/>
      <c r="B68" s="242"/>
      <c r="C68" s="115" t="s">
        <v>102</v>
      </c>
      <c r="D68" s="130">
        <v>45722</v>
      </c>
      <c r="E68" s="123">
        <v>0</v>
      </c>
      <c r="F68" s="113">
        <v>0</v>
      </c>
      <c r="G68" s="360"/>
      <c r="H68" s="236"/>
      <c r="I68" s="270"/>
      <c r="J68" s="254"/>
      <c r="K68" s="306"/>
      <c r="L68" s="310"/>
      <c r="M68" s="313"/>
      <c r="N68" s="313"/>
      <c r="O68" s="331"/>
      <c r="P68" s="331"/>
      <c r="Q68" s="331"/>
      <c r="R68" s="331"/>
      <c r="S68" s="331"/>
      <c r="T68" s="331"/>
      <c r="U68" s="332"/>
      <c r="V68" s="213"/>
      <c r="W68" s="315"/>
      <c r="X68" s="161"/>
      <c r="Y68" s="161"/>
      <c r="Z68" s="270"/>
      <c r="AA68" s="254"/>
      <c r="AB68" s="306"/>
      <c r="AC68" s="310"/>
      <c r="AD68" s="313"/>
      <c r="AE68" s="313"/>
      <c r="AF68" s="331"/>
      <c r="AG68" s="331"/>
      <c r="AH68" s="331"/>
      <c r="AI68" s="331"/>
      <c r="AJ68" s="331"/>
      <c r="AK68" s="331"/>
      <c r="AL68" s="332"/>
      <c r="AM68" s="213"/>
      <c r="AN68" s="315"/>
      <c r="AO68" s="237"/>
    </row>
    <row r="69" spans="1:41" ht="20.100000000000001" customHeight="1">
      <c r="A69" s="159"/>
      <c r="B69" s="242"/>
      <c r="C69" s="115" t="s">
        <v>103</v>
      </c>
      <c r="D69" s="130">
        <v>45722</v>
      </c>
      <c r="E69" s="123">
        <v>0</v>
      </c>
      <c r="F69" s="113">
        <v>0</v>
      </c>
      <c r="G69" s="360"/>
      <c r="H69" s="236"/>
      <c r="I69" s="270"/>
      <c r="J69" s="189" t="s">
        <v>80</v>
      </c>
      <c r="K69" s="190"/>
      <c r="L69" s="202" t="e">
        <f t="shared" ref="L69:U69" si="37">IF(L57&lt;=L65, L65-L57)</f>
        <v>#DIV/0!</v>
      </c>
      <c r="M69" s="202" t="e">
        <f t="shared" si="37"/>
        <v>#DIV/0!</v>
      </c>
      <c r="N69" s="202" t="e">
        <f t="shared" si="37"/>
        <v>#DIV/0!</v>
      </c>
      <c r="O69" s="187" t="e">
        <f t="shared" si="37"/>
        <v>#DIV/0!</v>
      </c>
      <c r="P69" s="187" t="e">
        <f t="shared" si="37"/>
        <v>#DIV/0!</v>
      </c>
      <c r="Q69" s="187" t="e">
        <f t="shared" si="37"/>
        <v>#DIV/0!</v>
      </c>
      <c r="R69" s="187" t="e">
        <f t="shared" si="37"/>
        <v>#DIV/0!</v>
      </c>
      <c r="S69" s="187" t="e">
        <f t="shared" si="37"/>
        <v>#DIV/0!</v>
      </c>
      <c r="T69" s="187" t="e">
        <f t="shared" si="37"/>
        <v>#DIV/0!</v>
      </c>
      <c r="U69" s="148" t="e">
        <f t="shared" si="37"/>
        <v>#DIV/0!</v>
      </c>
      <c r="V69" s="213"/>
      <c r="W69" s="315"/>
      <c r="X69" s="161"/>
      <c r="Y69" s="161"/>
      <c r="Z69" s="270"/>
      <c r="AA69" s="189" t="s">
        <v>80</v>
      </c>
      <c r="AB69" s="190"/>
      <c r="AC69" s="202">
        <f t="shared" ref="AC69:AL69" si="38">IF(AC57&lt;=AC65, AC65-AC57)</f>
        <v>0</v>
      </c>
      <c r="AD69" s="202">
        <f t="shared" si="38"/>
        <v>0</v>
      </c>
      <c r="AE69" s="202">
        <f t="shared" si="38"/>
        <v>0</v>
      </c>
      <c r="AF69" s="187">
        <f t="shared" si="38"/>
        <v>0</v>
      </c>
      <c r="AG69" s="187">
        <f t="shared" si="38"/>
        <v>0</v>
      </c>
      <c r="AH69" s="187">
        <f t="shared" si="38"/>
        <v>0</v>
      </c>
      <c r="AI69" s="187">
        <f t="shared" si="38"/>
        <v>0</v>
      </c>
      <c r="AJ69" s="187">
        <f t="shared" si="38"/>
        <v>0</v>
      </c>
      <c r="AK69" s="187">
        <f t="shared" si="38"/>
        <v>0</v>
      </c>
      <c r="AL69" s="148">
        <f t="shared" si="38"/>
        <v>0</v>
      </c>
      <c r="AM69" s="213"/>
      <c r="AN69" s="315"/>
      <c r="AO69" s="237"/>
    </row>
    <row r="70" spans="1:41" ht="20.100000000000001" customHeight="1">
      <c r="A70" s="159"/>
      <c r="B70" s="242"/>
      <c r="C70" s="115" t="s">
        <v>104</v>
      </c>
      <c r="D70" s="130">
        <v>45722</v>
      </c>
      <c r="E70" s="123">
        <v>0</v>
      </c>
      <c r="F70" s="113">
        <v>0</v>
      </c>
      <c r="G70" s="360"/>
      <c r="H70" s="236"/>
      <c r="I70" s="270"/>
      <c r="J70" s="191"/>
      <c r="K70" s="192"/>
      <c r="L70" s="203"/>
      <c r="M70" s="203"/>
      <c r="N70" s="203"/>
      <c r="O70" s="188"/>
      <c r="P70" s="188"/>
      <c r="Q70" s="188"/>
      <c r="R70" s="188"/>
      <c r="S70" s="188"/>
      <c r="T70" s="188"/>
      <c r="U70" s="149"/>
      <c r="V70" s="213"/>
      <c r="W70" s="315"/>
      <c r="X70" s="161"/>
      <c r="Y70" s="161"/>
      <c r="Z70" s="270"/>
      <c r="AA70" s="191"/>
      <c r="AB70" s="192"/>
      <c r="AC70" s="203"/>
      <c r="AD70" s="203"/>
      <c r="AE70" s="203"/>
      <c r="AF70" s="188"/>
      <c r="AG70" s="188"/>
      <c r="AH70" s="188"/>
      <c r="AI70" s="188"/>
      <c r="AJ70" s="188"/>
      <c r="AK70" s="188"/>
      <c r="AL70" s="149"/>
      <c r="AM70" s="213"/>
      <c r="AN70" s="315"/>
      <c r="AO70" s="237"/>
    </row>
    <row r="71" spans="1:41" ht="20.100000000000001" customHeight="1">
      <c r="A71" s="159"/>
      <c r="B71" s="242"/>
      <c r="C71" s="115" t="s">
        <v>105</v>
      </c>
      <c r="D71" s="130">
        <v>45722</v>
      </c>
      <c r="E71" s="123">
        <v>0</v>
      </c>
      <c r="F71" s="113">
        <v>0</v>
      </c>
      <c r="G71" s="360"/>
      <c r="H71" s="236"/>
      <c r="I71" s="270"/>
      <c r="J71" s="193" t="s">
        <v>92</v>
      </c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5"/>
      <c r="V71" s="213"/>
      <c r="W71" s="315"/>
      <c r="X71" s="161"/>
      <c r="Y71" s="161"/>
      <c r="Z71" s="270"/>
      <c r="AA71" s="349" t="s">
        <v>96</v>
      </c>
      <c r="AB71" s="350"/>
      <c r="AC71" s="350"/>
      <c r="AD71" s="350"/>
      <c r="AE71" s="350"/>
      <c r="AF71" s="350"/>
      <c r="AG71" s="350"/>
      <c r="AH71" s="350"/>
      <c r="AI71" s="350"/>
      <c r="AJ71" s="350"/>
      <c r="AK71" s="350"/>
      <c r="AL71" s="351"/>
      <c r="AM71" s="213"/>
      <c r="AN71" s="315"/>
      <c r="AO71" s="237"/>
    </row>
    <row r="72" spans="1:41" ht="20.100000000000001" customHeight="1">
      <c r="A72" s="159"/>
      <c r="B72" s="242"/>
      <c r="C72" s="115" t="s">
        <v>106</v>
      </c>
      <c r="D72" s="130">
        <v>45722</v>
      </c>
      <c r="E72" s="123">
        <v>0</v>
      </c>
      <c r="F72" s="113">
        <v>0</v>
      </c>
      <c r="G72" s="360"/>
      <c r="H72" s="236"/>
      <c r="I72" s="270"/>
      <c r="J72" s="196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8"/>
      <c r="V72" s="213"/>
      <c r="W72" s="315"/>
      <c r="X72" s="161"/>
      <c r="Y72" s="161"/>
      <c r="Z72" s="270"/>
      <c r="AA72" s="352"/>
      <c r="AB72" s="353"/>
      <c r="AC72" s="353"/>
      <c r="AD72" s="353"/>
      <c r="AE72" s="353"/>
      <c r="AF72" s="353"/>
      <c r="AG72" s="353"/>
      <c r="AH72" s="353"/>
      <c r="AI72" s="353"/>
      <c r="AJ72" s="353"/>
      <c r="AK72" s="353"/>
      <c r="AL72" s="354"/>
      <c r="AM72" s="213"/>
      <c r="AN72" s="315"/>
      <c r="AO72" s="237"/>
    </row>
    <row r="73" spans="1:41" ht="20.100000000000001" customHeight="1">
      <c r="A73" s="159"/>
      <c r="B73" s="242"/>
      <c r="C73" s="115" t="s">
        <v>107</v>
      </c>
      <c r="D73" s="130">
        <v>45722</v>
      </c>
      <c r="E73" s="123">
        <v>0</v>
      </c>
      <c r="F73" s="113">
        <v>0</v>
      </c>
      <c r="G73" s="360"/>
      <c r="H73" s="236"/>
      <c r="I73" s="270"/>
      <c r="J73" s="196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8"/>
      <c r="V73" s="213"/>
      <c r="W73" s="315"/>
      <c r="X73" s="161"/>
      <c r="Y73" s="161"/>
      <c r="Z73" s="270"/>
      <c r="AA73" s="352"/>
      <c r="AB73" s="353"/>
      <c r="AC73" s="353"/>
      <c r="AD73" s="353"/>
      <c r="AE73" s="353"/>
      <c r="AF73" s="353"/>
      <c r="AG73" s="353"/>
      <c r="AH73" s="353"/>
      <c r="AI73" s="353"/>
      <c r="AJ73" s="353"/>
      <c r="AK73" s="353"/>
      <c r="AL73" s="354"/>
      <c r="AM73" s="213"/>
      <c r="AN73" s="315"/>
      <c r="AO73" s="237"/>
    </row>
    <row r="74" spans="1:41" ht="20.100000000000001" customHeight="1">
      <c r="A74" s="159"/>
      <c r="B74" s="242"/>
      <c r="C74" s="115" t="s">
        <v>108</v>
      </c>
      <c r="D74" s="130">
        <v>45722</v>
      </c>
      <c r="E74" s="123">
        <v>0</v>
      </c>
      <c r="F74" s="113">
        <v>0</v>
      </c>
      <c r="G74" s="360"/>
      <c r="H74" s="236"/>
      <c r="I74" s="270"/>
      <c r="J74" s="196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8"/>
      <c r="V74" s="213"/>
      <c r="W74" s="315"/>
      <c r="X74" s="161"/>
      <c r="Y74" s="161"/>
      <c r="Z74" s="270"/>
      <c r="AA74" s="352"/>
      <c r="AB74" s="353"/>
      <c r="AC74" s="353"/>
      <c r="AD74" s="353"/>
      <c r="AE74" s="353"/>
      <c r="AF74" s="353"/>
      <c r="AG74" s="353"/>
      <c r="AH74" s="353"/>
      <c r="AI74" s="353"/>
      <c r="AJ74" s="353"/>
      <c r="AK74" s="353"/>
      <c r="AL74" s="354"/>
      <c r="AM74" s="213"/>
      <c r="AN74" s="315"/>
      <c r="AO74" s="237"/>
    </row>
    <row r="75" spans="1:41" ht="20.100000000000001" customHeight="1" thickBot="1">
      <c r="A75" s="159"/>
      <c r="B75" s="243"/>
      <c r="C75" s="115" t="s">
        <v>109</v>
      </c>
      <c r="D75" s="130">
        <v>45722</v>
      </c>
      <c r="E75" s="124">
        <v>0</v>
      </c>
      <c r="F75" s="114">
        <v>0</v>
      </c>
      <c r="G75" s="360"/>
      <c r="H75" s="236"/>
      <c r="I75" s="271"/>
      <c r="J75" s="199"/>
      <c r="K75" s="200"/>
      <c r="L75" s="200"/>
      <c r="M75" s="200"/>
      <c r="N75" s="200"/>
      <c r="O75" s="200"/>
      <c r="P75" s="200"/>
      <c r="Q75" s="200"/>
      <c r="R75" s="200"/>
      <c r="S75" s="200"/>
      <c r="T75" s="200"/>
      <c r="U75" s="201"/>
      <c r="V75" s="254"/>
      <c r="W75" s="316"/>
      <c r="X75" s="161"/>
      <c r="Y75" s="161"/>
      <c r="Z75" s="271"/>
      <c r="AA75" s="355"/>
      <c r="AB75" s="356"/>
      <c r="AC75" s="356"/>
      <c r="AD75" s="356"/>
      <c r="AE75" s="356"/>
      <c r="AF75" s="356"/>
      <c r="AG75" s="356"/>
      <c r="AH75" s="356"/>
      <c r="AI75" s="356"/>
      <c r="AJ75" s="356"/>
      <c r="AK75" s="356"/>
      <c r="AL75" s="357"/>
      <c r="AM75" s="254"/>
      <c r="AN75" s="316"/>
      <c r="AO75" s="237"/>
    </row>
    <row r="76" spans="1:41" ht="20.100000000000001" customHeight="1">
      <c r="A76" s="159"/>
      <c r="B76" s="384" t="s">
        <v>151</v>
      </c>
      <c r="C76" s="385"/>
      <c r="D76" s="386"/>
      <c r="E76" s="386"/>
      <c r="F76" s="387"/>
      <c r="G76" s="360"/>
      <c r="H76" s="236"/>
      <c r="I76" s="150" t="s">
        <v>159</v>
      </c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2"/>
      <c r="X76" s="161"/>
      <c r="Y76" s="161"/>
      <c r="Z76" s="160"/>
      <c r="AA76" s="160"/>
      <c r="AB76" s="160"/>
      <c r="AC76" s="160"/>
      <c r="AD76" s="160"/>
      <c r="AE76" s="160"/>
      <c r="AF76" s="160"/>
      <c r="AG76" s="160"/>
      <c r="AH76" s="160"/>
      <c r="AI76" s="160"/>
      <c r="AJ76" s="160"/>
      <c r="AK76" s="160"/>
      <c r="AL76" s="160"/>
      <c r="AM76" s="160"/>
      <c r="AN76" s="160"/>
      <c r="AO76" s="237"/>
    </row>
    <row r="77" spans="1:41" ht="20.100000000000001" customHeight="1">
      <c r="A77" s="159"/>
      <c r="B77" s="388"/>
      <c r="C77" s="386"/>
      <c r="D77" s="386"/>
      <c r="E77" s="386"/>
      <c r="F77" s="387"/>
      <c r="G77" s="360"/>
      <c r="H77" s="236"/>
      <c r="I77" s="153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5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237"/>
    </row>
    <row r="78" spans="1:41" ht="67.5" customHeight="1">
      <c r="A78" s="159"/>
      <c r="B78" s="389"/>
      <c r="C78" s="390"/>
      <c r="D78" s="390"/>
      <c r="E78" s="390"/>
      <c r="F78" s="391"/>
      <c r="G78" s="360"/>
      <c r="H78" s="236"/>
      <c r="I78" s="156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8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237"/>
    </row>
    <row r="79" spans="1:41" ht="20.100000000000001" customHeight="1">
      <c r="A79" s="159"/>
      <c r="B79" s="358"/>
      <c r="C79" s="358"/>
      <c r="D79" s="358"/>
      <c r="E79" s="358"/>
      <c r="F79" s="358"/>
      <c r="G79" s="360"/>
      <c r="H79" s="236"/>
      <c r="I79" s="266"/>
      <c r="J79" s="266"/>
      <c r="K79" s="266"/>
      <c r="L79" s="266"/>
      <c r="M79" s="266"/>
      <c r="N79" s="266"/>
      <c r="O79" s="266"/>
      <c r="P79" s="266"/>
      <c r="Q79" s="266"/>
      <c r="R79" s="266"/>
      <c r="S79" s="266"/>
      <c r="T79" s="266"/>
      <c r="U79" s="266"/>
      <c r="V79" s="266"/>
      <c r="W79" s="266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1"/>
      <c r="AO79" s="237"/>
    </row>
    <row r="80" spans="1:41" ht="20.100000000000001" customHeight="1">
      <c r="A80" s="159"/>
      <c r="B80" s="358"/>
      <c r="C80" s="358"/>
      <c r="D80" s="358"/>
      <c r="E80" s="358"/>
      <c r="F80" s="358"/>
      <c r="G80" s="360"/>
      <c r="H80" s="236"/>
      <c r="I80" s="267"/>
      <c r="J80" s="267"/>
      <c r="K80" s="267"/>
      <c r="L80" s="267"/>
      <c r="M80" s="267"/>
      <c r="N80" s="267"/>
      <c r="O80" s="267"/>
      <c r="P80" s="267"/>
      <c r="Q80" s="267"/>
      <c r="R80" s="267"/>
      <c r="S80" s="267"/>
      <c r="T80" s="267"/>
      <c r="U80" s="267"/>
      <c r="V80" s="267"/>
      <c r="W80" s="267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237"/>
    </row>
    <row r="81" spans="1:41" ht="20.100000000000001" customHeight="1">
      <c r="A81" s="159"/>
      <c r="B81" s="383"/>
      <c r="C81" s="383"/>
      <c r="D81" s="383"/>
      <c r="E81" s="383"/>
      <c r="F81" s="383"/>
      <c r="G81" s="360"/>
      <c r="H81" s="236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  <c r="AM81" s="161"/>
      <c r="AN81" s="161"/>
      <c r="AO81" s="237"/>
    </row>
    <row r="82" spans="1:41" ht="20.100000000000001" customHeight="1" thickBot="1">
      <c r="A82" s="159"/>
      <c r="B82" s="336" t="s">
        <v>46</v>
      </c>
      <c r="C82" s="371" t="s">
        <v>94</v>
      </c>
      <c r="D82" s="369"/>
      <c r="E82" s="369"/>
      <c r="F82" s="370"/>
      <c r="G82" s="360"/>
      <c r="H82" s="236"/>
      <c r="I82" s="339" t="s">
        <v>46</v>
      </c>
      <c r="J82" s="333" t="s">
        <v>62</v>
      </c>
      <c r="K82" s="334"/>
      <c r="L82" s="334"/>
      <c r="M82" s="334"/>
      <c r="N82" s="334"/>
      <c r="O82" s="334"/>
      <c r="P82" s="334"/>
      <c r="Q82" s="334"/>
      <c r="R82" s="334"/>
      <c r="S82" s="334"/>
      <c r="T82" s="334"/>
      <c r="U82" s="335"/>
      <c r="V82" s="204" t="s">
        <v>41</v>
      </c>
      <c r="W82" s="205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  <c r="AM82" s="161"/>
      <c r="AN82" s="161"/>
      <c r="AO82" s="237"/>
    </row>
    <row r="83" spans="1:41" ht="20.100000000000001" customHeight="1">
      <c r="A83" s="159"/>
      <c r="B83" s="337"/>
      <c r="C83" s="109" t="s">
        <v>141</v>
      </c>
      <c r="D83" s="394">
        <v>0</v>
      </c>
      <c r="E83" s="395"/>
      <c r="F83" s="396"/>
      <c r="G83" s="360"/>
      <c r="H83" s="236"/>
      <c r="I83" s="340"/>
      <c r="J83" s="210" t="s">
        <v>70</v>
      </c>
      <c r="K83" s="211"/>
      <c r="L83" s="54" t="s">
        <v>121</v>
      </c>
      <c r="M83" s="46" t="s">
        <v>122</v>
      </c>
      <c r="N83" s="46" t="s">
        <v>123</v>
      </c>
      <c r="O83" s="46" t="s">
        <v>124</v>
      </c>
      <c r="P83" s="46" t="s">
        <v>125</v>
      </c>
      <c r="Q83" s="46" t="s">
        <v>126</v>
      </c>
      <c r="R83" s="46" t="s">
        <v>127</v>
      </c>
      <c r="S83" s="46" t="s">
        <v>128</v>
      </c>
      <c r="T83" s="46" t="s">
        <v>129</v>
      </c>
      <c r="U83" s="55" t="s">
        <v>130</v>
      </c>
      <c r="V83" s="206"/>
      <c r="W83" s="207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  <c r="AM83" s="161"/>
      <c r="AN83" s="161"/>
      <c r="AO83" s="237"/>
    </row>
    <row r="84" spans="1:41" ht="20.100000000000001" customHeight="1">
      <c r="A84" s="159"/>
      <c r="B84" s="337"/>
      <c r="C84" s="115" t="s">
        <v>142</v>
      </c>
      <c r="D84" s="380">
        <v>0</v>
      </c>
      <c r="E84" s="381"/>
      <c r="F84" s="382"/>
      <c r="G84" s="360"/>
      <c r="H84" s="236"/>
      <c r="I84" s="340"/>
      <c r="J84" s="165" t="s">
        <v>71</v>
      </c>
      <c r="K84" s="166"/>
      <c r="L84" s="56" t="str">
        <f>($D$16)&amp;" 년"</f>
        <v>2025 년</v>
      </c>
      <c r="M84" s="91" t="str">
        <f>($D$16+1)&amp;" 년"</f>
        <v>2026 년</v>
      </c>
      <c r="N84" s="91" t="str">
        <f>($D$16+2)&amp;" 년"</f>
        <v>2027 년</v>
      </c>
      <c r="O84" s="91" t="str">
        <f>($D$16+3)&amp;" 년"</f>
        <v>2028 년</v>
      </c>
      <c r="P84" s="91" t="str">
        <f>($D$16+4)&amp;" 년"</f>
        <v>2029 년</v>
      </c>
      <c r="Q84" s="91" t="str">
        <f>($D$16+5)&amp;" 년"</f>
        <v>2030 년</v>
      </c>
      <c r="R84" s="91" t="str">
        <f>($D$16+6)&amp;" 년"</f>
        <v>2031 년</v>
      </c>
      <c r="S84" s="91" t="str">
        <f>($D$16+7)&amp;" 년"</f>
        <v>2032 년</v>
      </c>
      <c r="T84" s="91" t="str">
        <f>($D$16+8)&amp;" 년"</f>
        <v>2033 년</v>
      </c>
      <c r="U84" s="57" t="str">
        <f>($D$16+9)&amp;" 년"</f>
        <v>2034 년</v>
      </c>
      <c r="V84" s="206"/>
      <c r="W84" s="207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237"/>
    </row>
    <row r="85" spans="1:41" ht="20.100000000000001" customHeight="1">
      <c r="A85" s="159"/>
      <c r="B85" s="337"/>
      <c r="C85" s="115" t="s">
        <v>143</v>
      </c>
      <c r="D85" s="380">
        <v>0</v>
      </c>
      <c r="E85" s="381"/>
      <c r="F85" s="382"/>
      <c r="G85" s="360"/>
      <c r="H85" s="236"/>
      <c r="I85" s="340"/>
      <c r="J85" s="165" t="s">
        <v>25</v>
      </c>
      <c r="K85" s="166"/>
      <c r="L85" s="24">
        <f t="shared" ref="L85:U85" si="39">$D$15/10</f>
        <v>0</v>
      </c>
      <c r="M85" s="86">
        <f t="shared" si="39"/>
        <v>0</v>
      </c>
      <c r="N85" s="86">
        <f t="shared" si="39"/>
        <v>0</v>
      </c>
      <c r="O85" s="86">
        <f t="shared" si="39"/>
        <v>0</v>
      </c>
      <c r="P85" s="86">
        <f t="shared" si="39"/>
        <v>0</v>
      </c>
      <c r="Q85" s="86">
        <f t="shared" si="39"/>
        <v>0</v>
      </c>
      <c r="R85" s="86">
        <f t="shared" si="39"/>
        <v>0</v>
      </c>
      <c r="S85" s="86">
        <f t="shared" si="39"/>
        <v>0</v>
      </c>
      <c r="T85" s="86">
        <f t="shared" si="39"/>
        <v>0</v>
      </c>
      <c r="U85" s="17">
        <f t="shared" si="39"/>
        <v>0</v>
      </c>
      <c r="V85" s="206"/>
      <c r="W85" s="207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1"/>
      <c r="AO85" s="237"/>
    </row>
    <row r="86" spans="1:41" ht="20.100000000000001" customHeight="1">
      <c r="A86" s="159"/>
      <c r="B86" s="337"/>
      <c r="C86" s="115" t="s">
        <v>144</v>
      </c>
      <c r="D86" s="380">
        <v>0</v>
      </c>
      <c r="E86" s="381"/>
      <c r="F86" s="382"/>
      <c r="G86" s="360"/>
      <c r="H86" s="236"/>
      <c r="I86" s="340"/>
      <c r="J86" s="165" t="s">
        <v>47</v>
      </c>
      <c r="K86" s="166"/>
      <c r="L86" s="58">
        <f>$D$83</f>
        <v>0</v>
      </c>
      <c r="M86" s="59">
        <f>D84</f>
        <v>0</v>
      </c>
      <c r="N86" s="59">
        <f>D85</f>
        <v>0</v>
      </c>
      <c r="O86" s="59">
        <f>D86</f>
        <v>0</v>
      </c>
      <c r="P86" s="59">
        <f>D87</f>
        <v>0</v>
      </c>
      <c r="Q86" s="59">
        <f>D88</f>
        <v>0</v>
      </c>
      <c r="R86" s="59">
        <f>D89</f>
        <v>0</v>
      </c>
      <c r="S86" s="59">
        <f>D90</f>
        <v>0</v>
      </c>
      <c r="T86" s="59">
        <f>D91</f>
        <v>0</v>
      </c>
      <c r="U86" s="60">
        <f>D92</f>
        <v>0</v>
      </c>
      <c r="V86" s="208"/>
      <c r="W86" s="209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237"/>
    </row>
    <row r="87" spans="1:41" ht="20.100000000000001" customHeight="1">
      <c r="A87" s="159"/>
      <c r="B87" s="337"/>
      <c r="C87" s="115" t="s">
        <v>145</v>
      </c>
      <c r="D87" s="380">
        <v>0</v>
      </c>
      <c r="E87" s="381"/>
      <c r="F87" s="382"/>
      <c r="G87" s="360"/>
      <c r="H87" s="236"/>
      <c r="I87" s="340"/>
      <c r="J87" s="165" t="s">
        <v>165</v>
      </c>
      <c r="K87" s="166"/>
      <c r="L87" s="24">
        <f t="shared" ref="L87:U87" si="40">($D$13/10)</f>
        <v>0</v>
      </c>
      <c r="M87" s="86">
        <f t="shared" si="40"/>
        <v>0</v>
      </c>
      <c r="N87" s="86">
        <f t="shared" si="40"/>
        <v>0</v>
      </c>
      <c r="O87" s="86">
        <f t="shared" si="40"/>
        <v>0</v>
      </c>
      <c r="P87" s="86">
        <f t="shared" si="40"/>
        <v>0</v>
      </c>
      <c r="Q87" s="86">
        <f t="shared" si="40"/>
        <v>0</v>
      </c>
      <c r="R87" s="86">
        <f t="shared" si="40"/>
        <v>0</v>
      </c>
      <c r="S87" s="86">
        <f t="shared" si="40"/>
        <v>0</v>
      </c>
      <c r="T87" s="86">
        <f t="shared" si="40"/>
        <v>0</v>
      </c>
      <c r="U87" s="17">
        <f t="shared" si="40"/>
        <v>0</v>
      </c>
      <c r="V87" s="342">
        <f>SUM(L87:U87)</f>
        <v>0</v>
      </c>
      <c r="W87" s="218" t="s">
        <v>43</v>
      </c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237"/>
    </row>
    <row r="88" spans="1:41" ht="20.100000000000001" customHeight="1">
      <c r="A88" s="159"/>
      <c r="B88" s="337"/>
      <c r="C88" s="115" t="s">
        <v>146</v>
      </c>
      <c r="D88" s="380">
        <v>0</v>
      </c>
      <c r="E88" s="381"/>
      <c r="F88" s="382"/>
      <c r="G88" s="360"/>
      <c r="H88" s="236"/>
      <c r="I88" s="340"/>
      <c r="J88" s="165" t="s">
        <v>79</v>
      </c>
      <c r="K88" s="166"/>
      <c r="L88" s="61" t="e">
        <f t="shared" ref="L88:U88" si="41">$D$13/$D$12</f>
        <v>#DIV/0!</v>
      </c>
      <c r="M88" s="62" t="e">
        <f t="shared" si="41"/>
        <v>#DIV/0!</v>
      </c>
      <c r="N88" s="62" t="e">
        <f t="shared" si="41"/>
        <v>#DIV/0!</v>
      </c>
      <c r="O88" s="62" t="e">
        <f t="shared" si="41"/>
        <v>#DIV/0!</v>
      </c>
      <c r="P88" s="62" t="e">
        <f t="shared" si="41"/>
        <v>#DIV/0!</v>
      </c>
      <c r="Q88" s="62" t="e">
        <f t="shared" si="41"/>
        <v>#DIV/0!</v>
      </c>
      <c r="R88" s="62" t="e">
        <f t="shared" si="41"/>
        <v>#DIV/0!</v>
      </c>
      <c r="S88" s="62" t="e">
        <f t="shared" si="41"/>
        <v>#DIV/0!</v>
      </c>
      <c r="T88" s="62" t="e">
        <f t="shared" si="41"/>
        <v>#DIV/0!</v>
      </c>
      <c r="U88" s="63" t="e">
        <f t="shared" si="41"/>
        <v>#DIV/0!</v>
      </c>
      <c r="V88" s="343"/>
      <c r="W88" s="219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237"/>
    </row>
    <row r="89" spans="1:41" ht="20.100000000000001" customHeight="1">
      <c r="A89" s="159"/>
      <c r="B89" s="337"/>
      <c r="C89" s="115" t="s">
        <v>147</v>
      </c>
      <c r="D89" s="380">
        <v>0</v>
      </c>
      <c r="E89" s="381"/>
      <c r="F89" s="382"/>
      <c r="G89" s="360"/>
      <c r="H89" s="236"/>
      <c r="I89" s="340"/>
      <c r="J89" s="212" t="s">
        <v>48</v>
      </c>
      <c r="K89" s="25" t="s">
        <v>160</v>
      </c>
      <c r="L89" s="64" t="e">
        <f>L$85*L$88</f>
        <v>#DIV/0!</v>
      </c>
      <c r="M89" s="65" t="e">
        <f t="shared" ref="M89:U89" si="42">M$85*M$88</f>
        <v>#DIV/0!</v>
      </c>
      <c r="N89" s="65" t="e">
        <f t="shared" si="42"/>
        <v>#DIV/0!</v>
      </c>
      <c r="O89" s="65" t="e">
        <f t="shared" si="42"/>
        <v>#DIV/0!</v>
      </c>
      <c r="P89" s="65" t="e">
        <f t="shared" si="42"/>
        <v>#DIV/0!</v>
      </c>
      <c r="Q89" s="65" t="e">
        <f t="shared" si="42"/>
        <v>#DIV/0!</v>
      </c>
      <c r="R89" s="65" t="e">
        <f t="shared" si="42"/>
        <v>#DIV/0!</v>
      </c>
      <c r="S89" s="65" t="e">
        <f t="shared" si="42"/>
        <v>#DIV/0!</v>
      </c>
      <c r="T89" s="65" t="e">
        <f t="shared" si="42"/>
        <v>#DIV/0!</v>
      </c>
      <c r="U89" s="66" t="e">
        <f t="shared" si="42"/>
        <v>#DIV/0!</v>
      </c>
      <c r="V89" s="343"/>
      <c r="W89" s="219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  <c r="AM89" s="161"/>
      <c r="AN89" s="161"/>
      <c r="AO89" s="237"/>
    </row>
    <row r="90" spans="1:41" ht="20.100000000000001" customHeight="1">
      <c r="A90" s="159"/>
      <c r="B90" s="337"/>
      <c r="C90" s="115" t="s">
        <v>148</v>
      </c>
      <c r="D90" s="380">
        <v>0</v>
      </c>
      <c r="E90" s="381"/>
      <c r="F90" s="382"/>
      <c r="G90" s="360"/>
      <c r="H90" s="236"/>
      <c r="I90" s="340"/>
      <c r="J90" s="214"/>
      <c r="K90" s="26" t="s">
        <v>161</v>
      </c>
      <c r="L90" s="64" t="e">
        <f>L89</f>
        <v>#DIV/0!</v>
      </c>
      <c r="M90" s="65" t="e">
        <f>L90+M89</f>
        <v>#DIV/0!</v>
      </c>
      <c r="N90" s="65" t="e">
        <f t="shared" ref="N90:U90" si="43">M90+N89</f>
        <v>#DIV/0!</v>
      </c>
      <c r="O90" s="65" t="e">
        <f t="shared" si="43"/>
        <v>#DIV/0!</v>
      </c>
      <c r="P90" s="65" t="e">
        <f t="shared" si="43"/>
        <v>#DIV/0!</v>
      </c>
      <c r="Q90" s="65" t="e">
        <f t="shared" si="43"/>
        <v>#DIV/0!</v>
      </c>
      <c r="R90" s="65" t="e">
        <f t="shared" si="43"/>
        <v>#DIV/0!</v>
      </c>
      <c r="S90" s="65" t="e">
        <f t="shared" si="43"/>
        <v>#DIV/0!</v>
      </c>
      <c r="T90" s="65" t="e">
        <f t="shared" si="43"/>
        <v>#DIV/0!</v>
      </c>
      <c r="U90" s="66" t="e">
        <f t="shared" si="43"/>
        <v>#DIV/0!</v>
      </c>
      <c r="V90" s="343"/>
      <c r="W90" s="219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  <c r="AM90" s="161"/>
      <c r="AN90" s="161"/>
      <c r="AO90" s="237"/>
    </row>
    <row r="91" spans="1:41" ht="20.100000000000001" customHeight="1">
      <c r="A91" s="159"/>
      <c r="B91" s="337"/>
      <c r="C91" s="115" t="s">
        <v>149</v>
      </c>
      <c r="D91" s="380">
        <v>0</v>
      </c>
      <c r="E91" s="381"/>
      <c r="F91" s="382"/>
      <c r="G91" s="360"/>
      <c r="H91" s="236"/>
      <c r="I91" s="340"/>
      <c r="J91" s="212" t="s">
        <v>49</v>
      </c>
      <c r="K91" s="25" t="s">
        <v>162</v>
      </c>
      <c r="L91" s="67" t="e">
        <f>L$86*L$88</f>
        <v>#DIV/0!</v>
      </c>
      <c r="M91" s="49" t="e">
        <f t="shared" ref="M91:U91" si="44">M$86*M$88</f>
        <v>#DIV/0!</v>
      </c>
      <c r="N91" s="49" t="e">
        <f t="shared" si="44"/>
        <v>#DIV/0!</v>
      </c>
      <c r="O91" s="49" t="e">
        <f t="shared" si="44"/>
        <v>#DIV/0!</v>
      </c>
      <c r="P91" s="49" t="e">
        <f t="shared" si="44"/>
        <v>#DIV/0!</v>
      </c>
      <c r="Q91" s="49" t="e">
        <f t="shared" si="44"/>
        <v>#DIV/0!</v>
      </c>
      <c r="R91" s="49" t="e">
        <f t="shared" si="44"/>
        <v>#DIV/0!</v>
      </c>
      <c r="S91" s="49" t="e">
        <f t="shared" si="44"/>
        <v>#DIV/0!</v>
      </c>
      <c r="T91" s="49" t="e">
        <f t="shared" si="44"/>
        <v>#DIV/0!</v>
      </c>
      <c r="U91" s="68" t="e">
        <f t="shared" si="44"/>
        <v>#DIV/0!</v>
      </c>
      <c r="V91" s="343"/>
      <c r="W91" s="219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161"/>
      <c r="AM91" s="161"/>
      <c r="AN91" s="161"/>
      <c r="AO91" s="237"/>
    </row>
    <row r="92" spans="1:41" ht="20.100000000000001" customHeight="1" thickBot="1">
      <c r="A92" s="159"/>
      <c r="B92" s="338"/>
      <c r="C92" s="116" t="s">
        <v>150</v>
      </c>
      <c r="D92" s="346">
        <v>0</v>
      </c>
      <c r="E92" s="347"/>
      <c r="F92" s="348"/>
      <c r="G92" s="360"/>
      <c r="H92" s="236"/>
      <c r="I92" s="341"/>
      <c r="J92" s="254"/>
      <c r="K92" s="27" t="s">
        <v>163</v>
      </c>
      <c r="L92" s="69" t="e">
        <f>L91</f>
        <v>#DIV/0!</v>
      </c>
      <c r="M92" s="52" t="e">
        <f>M91+L92</f>
        <v>#DIV/0!</v>
      </c>
      <c r="N92" s="52" t="e">
        <f t="shared" ref="N92:U92" si="45">N91+M92</f>
        <v>#DIV/0!</v>
      </c>
      <c r="O92" s="52" t="e">
        <f t="shared" si="45"/>
        <v>#DIV/0!</v>
      </c>
      <c r="P92" s="52" t="e">
        <f t="shared" si="45"/>
        <v>#DIV/0!</v>
      </c>
      <c r="Q92" s="52" t="e">
        <f t="shared" si="45"/>
        <v>#DIV/0!</v>
      </c>
      <c r="R92" s="52" t="e">
        <f t="shared" si="45"/>
        <v>#DIV/0!</v>
      </c>
      <c r="S92" s="52" t="e">
        <f t="shared" si="45"/>
        <v>#DIV/0!</v>
      </c>
      <c r="T92" s="52" t="e">
        <f t="shared" si="45"/>
        <v>#DIV/0!</v>
      </c>
      <c r="U92" s="70" t="e">
        <f t="shared" si="45"/>
        <v>#DIV/0!</v>
      </c>
      <c r="V92" s="344"/>
      <c r="W92" s="345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  <c r="AM92" s="161"/>
      <c r="AN92" s="161"/>
      <c r="AO92" s="237"/>
    </row>
    <row r="93" spans="1:41" ht="20.100000000000001" customHeight="1">
      <c r="A93" s="159"/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161"/>
      <c r="AM93" s="161"/>
      <c r="AN93" s="161"/>
      <c r="AO93" s="237"/>
    </row>
    <row r="94" spans="1:41" ht="20.100000000000001" customHeight="1">
      <c r="B94" s="102"/>
      <c r="C94" s="102"/>
      <c r="D94" s="102"/>
      <c r="E94" s="102"/>
      <c r="F94" s="102"/>
      <c r="G94" s="103"/>
      <c r="H94" s="104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</row>
    <row r="95" spans="1:41" ht="20.100000000000001" customHeight="1">
      <c r="B95" s="102"/>
      <c r="C95" s="102"/>
      <c r="D95" s="102"/>
      <c r="E95" s="102"/>
      <c r="F95" s="102"/>
      <c r="G95" s="103"/>
      <c r="H95" s="104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  <c r="AI95" s="106"/>
      <c r="AJ95" s="106"/>
      <c r="AK95" s="106"/>
      <c r="AL95" s="106"/>
      <c r="AM95" s="106"/>
      <c r="AN95" s="106"/>
      <c r="AO95" s="106"/>
    </row>
    <row r="96" spans="1:41" ht="20.100000000000001" customHeight="1">
      <c r="B96" s="102"/>
      <c r="C96" s="102"/>
      <c r="D96" s="102"/>
      <c r="E96" s="102"/>
      <c r="F96" s="102"/>
      <c r="G96" s="103"/>
      <c r="H96" s="104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</row>
    <row r="97" spans="2:41" ht="20.100000000000001" customHeight="1">
      <c r="B97" s="102"/>
      <c r="C97" s="102"/>
      <c r="D97" s="102"/>
      <c r="E97" s="102"/>
      <c r="F97" s="102"/>
      <c r="G97" s="103"/>
      <c r="H97" s="104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/>
      <c r="AJ97" s="106"/>
      <c r="AK97" s="106"/>
      <c r="AL97" s="106"/>
      <c r="AM97" s="106"/>
      <c r="AN97" s="106"/>
      <c r="AO97" s="106"/>
    </row>
    <row r="98" spans="2:41" ht="20.100000000000001" customHeight="1">
      <c r="B98" s="102"/>
      <c r="C98" s="102"/>
      <c r="D98" s="102"/>
      <c r="E98" s="102"/>
      <c r="F98" s="102"/>
      <c r="G98" s="103"/>
      <c r="H98" s="104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6"/>
      <c r="Y98" s="106"/>
      <c r="Z98" s="106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</row>
    <row r="99" spans="2:41" ht="20.100000000000001" customHeight="1">
      <c r="B99" s="102"/>
      <c r="C99" s="102"/>
      <c r="D99" s="102"/>
      <c r="E99" s="102"/>
      <c r="F99" s="102"/>
      <c r="G99" s="103"/>
      <c r="H99" s="104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6"/>
      <c r="Y99" s="106"/>
      <c r="Z99" s="106"/>
      <c r="AA99" s="106"/>
      <c r="AB99" s="106"/>
      <c r="AC99" s="106"/>
      <c r="AD99" s="106"/>
      <c r="AE99" s="106"/>
      <c r="AF99" s="106"/>
      <c r="AG99" s="106"/>
      <c r="AH99" s="106"/>
      <c r="AI99" s="106"/>
      <c r="AJ99" s="106"/>
      <c r="AK99" s="106"/>
      <c r="AL99" s="106"/>
      <c r="AM99" s="106"/>
      <c r="AN99" s="106"/>
      <c r="AO99" s="106"/>
    </row>
    <row r="100" spans="2:41" ht="20.100000000000001" customHeight="1">
      <c r="B100" s="102"/>
      <c r="C100" s="102"/>
      <c r="D100" s="102"/>
      <c r="E100" s="102"/>
      <c r="F100" s="102"/>
      <c r="G100" s="103"/>
      <c r="H100" s="104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</row>
    <row r="101" spans="2:41" ht="20.100000000000001" customHeight="1">
      <c r="B101" s="102"/>
      <c r="C101" s="102"/>
      <c r="D101" s="102"/>
      <c r="E101" s="102"/>
      <c r="F101" s="102"/>
      <c r="G101" s="103"/>
      <c r="H101" s="104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6"/>
      <c r="Y101" s="106"/>
      <c r="Z101" s="106"/>
      <c r="AA101" s="106"/>
      <c r="AB101" s="106"/>
      <c r="AC101" s="106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</row>
  </sheetData>
  <sheetProtection password="F929" sheet="1" objects="1" scenarios="1"/>
  <mergeCells count="330">
    <mergeCell ref="D13:F13"/>
    <mergeCell ref="D12:F12"/>
    <mergeCell ref="D11:F11"/>
    <mergeCell ref="D10:F10"/>
    <mergeCell ref="D8:F9"/>
    <mergeCell ref="D6:F7"/>
    <mergeCell ref="D54:F54"/>
    <mergeCell ref="D49:F49"/>
    <mergeCell ref="D37:F37"/>
    <mergeCell ref="D38:F38"/>
    <mergeCell ref="D36:F36"/>
    <mergeCell ref="D25:F31"/>
    <mergeCell ref="D21:F21"/>
    <mergeCell ref="D22:F22"/>
    <mergeCell ref="D16:F16"/>
    <mergeCell ref="D15:F15"/>
    <mergeCell ref="D40:F40"/>
    <mergeCell ref="D41:F41"/>
    <mergeCell ref="D42:F42"/>
    <mergeCell ref="D43:F43"/>
    <mergeCell ref="D44:F44"/>
    <mergeCell ref="D45:F45"/>
    <mergeCell ref="D46:F46"/>
    <mergeCell ref="D48:F48"/>
    <mergeCell ref="D65:E65"/>
    <mergeCell ref="AO3:AO93"/>
    <mergeCell ref="B79:F81"/>
    <mergeCell ref="B76:F78"/>
    <mergeCell ref="D55:E55"/>
    <mergeCell ref="D57:E57"/>
    <mergeCell ref="D58:E58"/>
    <mergeCell ref="D59:E59"/>
    <mergeCell ref="D60:E60"/>
    <mergeCell ref="D61:E61"/>
    <mergeCell ref="D62:E62"/>
    <mergeCell ref="D63:E63"/>
    <mergeCell ref="D64:E64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14:F14"/>
    <mergeCell ref="D56:E56"/>
    <mergeCell ref="B93:W93"/>
    <mergeCell ref="G2:G92"/>
    <mergeCell ref="H24:H92"/>
    <mergeCell ref="B2:F3"/>
    <mergeCell ref="B50:F52"/>
    <mergeCell ref="Z2:AN52"/>
    <mergeCell ref="I1:AN1"/>
    <mergeCell ref="X24:Y93"/>
    <mergeCell ref="Z76:AN93"/>
    <mergeCell ref="B17:F18"/>
    <mergeCell ref="B23:F23"/>
    <mergeCell ref="C24:F24"/>
    <mergeCell ref="B32:F34"/>
    <mergeCell ref="C82:F82"/>
    <mergeCell ref="B4:F5"/>
    <mergeCell ref="C39:F39"/>
    <mergeCell ref="C35:F35"/>
    <mergeCell ref="B19:F20"/>
    <mergeCell ref="C53:F53"/>
    <mergeCell ref="AM67:AM75"/>
    <mergeCell ref="AN67:AN75"/>
    <mergeCell ref="AA69:AB70"/>
    <mergeCell ref="D47:F47"/>
    <mergeCell ref="AC69:AC70"/>
    <mergeCell ref="AD69:AD70"/>
    <mergeCell ref="AE69:AE70"/>
    <mergeCell ref="AF69:AF70"/>
    <mergeCell ref="AG69:AG70"/>
    <mergeCell ref="AH69:AH70"/>
    <mergeCell ref="AI69:AI70"/>
    <mergeCell ref="AJ69:AJ70"/>
    <mergeCell ref="AK69:AK70"/>
    <mergeCell ref="AL69:AL70"/>
    <mergeCell ref="AA71:AL75"/>
    <mergeCell ref="AM63:AN66"/>
    <mergeCell ref="AA65:AA68"/>
    <mergeCell ref="AB65:AB66"/>
    <mergeCell ref="AC65:AC66"/>
    <mergeCell ref="AD65:AD66"/>
    <mergeCell ref="AE65:AE66"/>
    <mergeCell ref="AF65:AF66"/>
    <mergeCell ref="AG65:AG66"/>
    <mergeCell ref="AH65:AH66"/>
    <mergeCell ref="AI65:AI66"/>
    <mergeCell ref="AJ65:AJ66"/>
    <mergeCell ref="AK65:AK66"/>
    <mergeCell ref="AL65:AL66"/>
    <mergeCell ref="AK67:AK68"/>
    <mergeCell ref="AL67:AL68"/>
    <mergeCell ref="AB67:AB68"/>
    <mergeCell ref="AC67:AC68"/>
    <mergeCell ref="AD67:AD68"/>
    <mergeCell ref="AE67:AE68"/>
    <mergeCell ref="AF67:AF68"/>
    <mergeCell ref="AG67:AG68"/>
    <mergeCell ref="AH67:AH68"/>
    <mergeCell ref="AI67:AI68"/>
    <mergeCell ref="AL61:AL62"/>
    <mergeCell ref="AA63:AB64"/>
    <mergeCell ref="AC63:AC64"/>
    <mergeCell ref="AD63:AD64"/>
    <mergeCell ref="AE63:AE64"/>
    <mergeCell ref="AF63:AF64"/>
    <mergeCell ref="AG63:AG64"/>
    <mergeCell ref="AH63:AH64"/>
    <mergeCell ref="AI63:AI64"/>
    <mergeCell ref="AJ63:AJ64"/>
    <mergeCell ref="AK63:AK64"/>
    <mergeCell ref="AL63:AL64"/>
    <mergeCell ref="AI61:AI62"/>
    <mergeCell ref="AJ61:AJ62"/>
    <mergeCell ref="AJ67:AJ68"/>
    <mergeCell ref="AK57:AK58"/>
    <mergeCell ref="AL57:AL58"/>
    <mergeCell ref="AM57:AM62"/>
    <mergeCell ref="AN57:AN62"/>
    <mergeCell ref="AA59:AB60"/>
    <mergeCell ref="AC59:AC60"/>
    <mergeCell ref="AD59:AD60"/>
    <mergeCell ref="AE59:AE60"/>
    <mergeCell ref="AF59:AF60"/>
    <mergeCell ref="AG59:AG60"/>
    <mergeCell ref="AH59:AH60"/>
    <mergeCell ref="AI59:AI60"/>
    <mergeCell ref="AJ59:AJ60"/>
    <mergeCell ref="AK59:AK60"/>
    <mergeCell ref="AL59:AL60"/>
    <mergeCell ref="AA61:AB62"/>
    <mergeCell ref="AC61:AC62"/>
    <mergeCell ref="AD61:AD62"/>
    <mergeCell ref="AE61:AE62"/>
    <mergeCell ref="AF61:AF62"/>
    <mergeCell ref="AG61:AG62"/>
    <mergeCell ref="AH61:AH62"/>
    <mergeCell ref="AK61:AK62"/>
    <mergeCell ref="Z53:Z75"/>
    <mergeCell ref="AA53:AL53"/>
    <mergeCell ref="AM53:AN56"/>
    <mergeCell ref="AA54:AB54"/>
    <mergeCell ref="AA55:AB56"/>
    <mergeCell ref="AC55:AC56"/>
    <mergeCell ref="AD55:AD56"/>
    <mergeCell ref="AE55:AE56"/>
    <mergeCell ref="AF55:AF56"/>
    <mergeCell ref="AG55:AG56"/>
    <mergeCell ref="AH55:AH56"/>
    <mergeCell ref="AI55:AI56"/>
    <mergeCell ref="AJ55:AJ56"/>
    <mergeCell ref="AK55:AK56"/>
    <mergeCell ref="AL55:AL56"/>
    <mergeCell ref="AA57:AB58"/>
    <mergeCell ref="AC57:AC58"/>
    <mergeCell ref="AD57:AD58"/>
    <mergeCell ref="AE57:AE58"/>
    <mergeCell ref="AF57:AF58"/>
    <mergeCell ref="AG57:AG58"/>
    <mergeCell ref="AH57:AH58"/>
    <mergeCell ref="AI57:AI58"/>
    <mergeCell ref="AJ57:AJ58"/>
    <mergeCell ref="J83:K83"/>
    <mergeCell ref="J82:U82"/>
    <mergeCell ref="J84:K84"/>
    <mergeCell ref="B82:B92"/>
    <mergeCell ref="I82:I92"/>
    <mergeCell ref="J89:J90"/>
    <mergeCell ref="V82:W86"/>
    <mergeCell ref="V87:V92"/>
    <mergeCell ref="W87:W92"/>
    <mergeCell ref="J88:K88"/>
    <mergeCell ref="J91:J92"/>
    <mergeCell ref="J85:K85"/>
    <mergeCell ref="J86:K86"/>
    <mergeCell ref="J87:K87"/>
    <mergeCell ref="D92:F92"/>
    <mergeCell ref="V67:V75"/>
    <mergeCell ref="W67:W75"/>
    <mergeCell ref="V63:W66"/>
    <mergeCell ref="W57:W62"/>
    <mergeCell ref="V57:V62"/>
    <mergeCell ref="N65:N66"/>
    <mergeCell ref="N67:N68"/>
    <mergeCell ref="O65:O66"/>
    <mergeCell ref="P65:P66"/>
    <mergeCell ref="Q65:Q66"/>
    <mergeCell ref="R65:R66"/>
    <mergeCell ref="S65:S66"/>
    <mergeCell ref="T65:T66"/>
    <mergeCell ref="U65:U66"/>
    <mergeCell ref="O67:O68"/>
    <mergeCell ref="P67:P68"/>
    <mergeCell ref="Q67:Q68"/>
    <mergeCell ref="R67:R68"/>
    <mergeCell ref="S67:S68"/>
    <mergeCell ref="T67:T68"/>
    <mergeCell ref="U67:U68"/>
    <mergeCell ref="P63:P64"/>
    <mergeCell ref="Q63:Q64"/>
    <mergeCell ref="R63:R64"/>
    <mergeCell ref="J61:K62"/>
    <mergeCell ref="J63:K64"/>
    <mergeCell ref="J65:J68"/>
    <mergeCell ref="K67:K68"/>
    <mergeCell ref="K65:K66"/>
    <mergeCell ref="L65:L66"/>
    <mergeCell ref="L67:L68"/>
    <mergeCell ref="M65:M66"/>
    <mergeCell ref="M67:M68"/>
    <mergeCell ref="S63:S64"/>
    <mergeCell ref="T63:T64"/>
    <mergeCell ref="U63:U64"/>
    <mergeCell ref="N61:N62"/>
    <mergeCell ref="O61:O62"/>
    <mergeCell ref="P61:P62"/>
    <mergeCell ref="Q61:Q62"/>
    <mergeCell ref="R61:R62"/>
    <mergeCell ref="S61:S62"/>
    <mergeCell ref="U55:U56"/>
    <mergeCell ref="J48:U49"/>
    <mergeCell ref="V46:V49"/>
    <mergeCell ref="W46:W49"/>
    <mergeCell ref="J40:K40"/>
    <mergeCell ref="J41:K41"/>
    <mergeCell ref="J39:K39"/>
    <mergeCell ref="J46:J47"/>
    <mergeCell ref="I50:W52"/>
    <mergeCell ref="V53:W56"/>
    <mergeCell ref="I79:W81"/>
    <mergeCell ref="I53:I75"/>
    <mergeCell ref="P57:P58"/>
    <mergeCell ref="Q57:Q58"/>
    <mergeCell ref="R57:R58"/>
    <mergeCell ref="S57:S58"/>
    <mergeCell ref="T57:T58"/>
    <mergeCell ref="U57:U58"/>
    <mergeCell ref="J57:K58"/>
    <mergeCell ref="J59:K60"/>
    <mergeCell ref="L59:L60"/>
    <mergeCell ref="M59:M60"/>
    <mergeCell ref="N59:N60"/>
    <mergeCell ref="O59:O60"/>
    <mergeCell ref="P59:P60"/>
    <mergeCell ref="L61:L62"/>
    <mergeCell ref="M61:M62"/>
    <mergeCell ref="T61:T62"/>
    <mergeCell ref="U61:U62"/>
    <mergeCell ref="L63:L64"/>
    <mergeCell ref="M63:M64"/>
    <mergeCell ref="N63:N64"/>
    <mergeCell ref="O63:O64"/>
    <mergeCell ref="T69:T70"/>
    <mergeCell ref="H2:Y23"/>
    <mergeCell ref="I35:I49"/>
    <mergeCell ref="B53:B75"/>
    <mergeCell ref="J53:U53"/>
    <mergeCell ref="J54:K54"/>
    <mergeCell ref="B8:C9"/>
    <mergeCell ref="B11:C11"/>
    <mergeCell ref="B12:C12"/>
    <mergeCell ref="V24:W28"/>
    <mergeCell ref="B21:B22"/>
    <mergeCell ref="C25:C31"/>
    <mergeCell ref="J28:K28"/>
    <mergeCell ref="J30:J31"/>
    <mergeCell ref="I24:I31"/>
    <mergeCell ref="L57:L58"/>
    <mergeCell ref="M57:M58"/>
    <mergeCell ref="N57:N58"/>
    <mergeCell ref="O57:O58"/>
    <mergeCell ref="Q59:Q60"/>
    <mergeCell ref="R59:R60"/>
    <mergeCell ref="S59:S60"/>
    <mergeCell ref="T59:T60"/>
    <mergeCell ref="U59:U60"/>
    <mergeCell ref="J29:K29"/>
    <mergeCell ref="R69:R70"/>
    <mergeCell ref="S69:S70"/>
    <mergeCell ref="J35:U35"/>
    <mergeCell ref="V35:W38"/>
    <mergeCell ref="J36:K36"/>
    <mergeCell ref="J37:K37"/>
    <mergeCell ref="J38:K38"/>
    <mergeCell ref="J25:K25"/>
    <mergeCell ref="J26:K26"/>
    <mergeCell ref="J42:J44"/>
    <mergeCell ref="J45:K45"/>
    <mergeCell ref="V39:V42"/>
    <mergeCell ref="W39:W42"/>
    <mergeCell ref="V43:W45"/>
    <mergeCell ref="L55:L56"/>
    <mergeCell ref="M55:M56"/>
    <mergeCell ref="J55:K56"/>
    <mergeCell ref="N55:N56"/>
    <mergeCell ref="O55:O56"/>
    <mergeCell ref="P55:P56"/>
    <mergeCell ref="Q55:Q56"/>
    <mergeCell ref="R55:R56"/>
    <mergeCell ref="S55:S56"/>
    <mergeCell ref="T55:T56"/>
    <mergeCell ref="U69:U70"/>
    <mergeCell ref="I76:W78"/>
    <mergeCell ref="A1:A93"/>
    <mergeCell ref="I32:W34"/>
    <mergeCell ref="V30:W30"/>
    <mergeCell ref="J27:K27"/>
    <mergeCell ref="B1:E1"/>
    <mergeCell ref="B13:C13"/>
    <mergeCell ref="B14:C14"/>
    <mergeCell ref="B15:C15"/>
    <mergeCell ref="B16:C16"/>
    <mergeCell ref="B6:C7"/>
    <mergeCell ref="J24:U24"/>
    <mergeCell ref="B10:C10"/>
    <mergeCell ref="B24:B31"/>
    <mergeCell ref="B35:B49"/>
    <mergeCell ref="O69:O70"/>
    <mergeCell ref="J69:K70"/>
    <mergeCell ref="J71:U75"/>
    <mergeCell ref="L69:L70"/>
    <mergeCell ref="M69:M70"/>
    <mergeCell ref="N69:N70"/>
    <mergeCell ref="P69:P70"/>
    <mergeCell ref="Q69:Q70"/>
  </mergeCells>
  <phoneticPr fontId="2" type="noConversion"/>
  <dataValidations count="3">
    <dataValidation type="custom" errorStyle="information" allowBlank="1" showInputMessage="1" showErrorMessage="1" errorTitle="정부지원금 한도" error="정부지원금 한도 내에 금액(C16)을 입력하십시오." sqref="D13" xr:uid="{00000000-0002-0000-0500-000000000000}">
      <formula1>D13&lt;=D14</formula1>
    </dataValidation>
    <dataValidation type="custom" allowBlank="1" showInputMessage="1" showErrorMessage="1" errorTitle="정부지원금 지급시점을 다시 입력해주십시오." error="정부지원금 지급완료 연도(D59)는 최초 실적 발급연도(D22)보다 늦을 수 없습니다." sqref="D54" xr:uid="{00000000-0002-0000-0500-000001000000}">
      <formula1>$D$56&lt;=$E$18</formula1>
    </dataValidation>
    <dataValidation type="list" allowBlank="1" showInputMessage="1" showErrorMessage="1" sqref="F56 D36:F36 D25:F31" xr:uid="{00000000-0002-0000-0500-000002000000}">
      <formula1>$D$21:$D$22</formula1>
    </dataValidation>
  </dataValidations>
  <pageMargins left="0.7" right="0.7" top="0.75" bottom="0.75" header="0.3" footer="0.3"/>
  <pageSetup paperSize="9" scale="22" orientation="landscape" r:id="rId1"/>
  <ignoredErrors>
    <ignoredError sqref="L91" formula="1"/>
    <ignoredError sqref="F57:F65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11"/>
  <sheetViews>
    <sheetView workbookViewId="0">
      <selection activeCell="H24" sqref="H24"/>
    </sheetView>
  </sheetViews>
  <sheetFormatPr defaultRowHeight="16.5"/>
  <cols>
    <col min="1" max="1" width="32.875" customWidth="1"/>
    <col min="2" max="2" width="12.5" customWidth="1"/>
    <col min="3" max="3" width="11.125" bestFit="1" customWidth="1"/>
  </cols>
  <sheetData>
    <row r="2" spans="1:4">
      <c r="A2" s="20" t="s">
        <v>110</v>
      </c>
      <c r="B2" s="122">
        <f>'수탁기관 분배량 시뮬레이션'!$D66</f>
        <v>45722</v>
      </c>
      <c r="C2" s="122">
        <f>EDATE($B2,-12)</f>
        <v>45357</v>
      </c>
      <c r="D2">
        <f>B2-C2</f>
        <v>365</v>
      </c>
    </row>
    <row r="3" spans="1:4">
      <c r="A3" s="20" t="s">
        <v>112</v>
      </c>
      <c r="B3" s="122">
        <f>'수탁기관 분배량 시뮬레이션'!$D67</f>
        <v>45722</v>
      </c>
      <c r="C3" s="122">
        <f t="shared" ref="C3:C11" si="0">EDATE($B3,-12)</f>
        <v>45357</v>
      </c>
      <c r="D3">
        <f t="shared" ref="D3:D11" si="1">B3-C3</f>
        <v>365</v>
      </c>
    </row>
    <row r="4" spans="1:4">
      <c r="A4" s="20" t="s">
        <v>113</v>
      </c>
      <c r="B4" s="122">
        <f>'수탁기관 분배량 시뮬레이션'!$D68</f>
        <v>45722</v>
      </c>
      <c r="C4" s="122">
        <f t="shared" si="0"/>
        <v>45357</v>
      </c>
      <c r="D4">
        <f t="shared" si="1"/>
        <v>365</v>
      </c>
    </row>
    <row r="5" spans="1:4">
      <c r="A5" s="20" t="s">
        <v>114</v>
      </c>
      <c r="B5" s="122">
        <f>'수탁기관 분배량 시뮬레이션'!$D69</f>
        <v>45722</v>
      </c>
      <c r="C5" s="122">
        <f t="shared" si="0"/>
        <v>45357</v>
      </c>
      <c r="D5">
        <f t="shared" si="1"/>
        <v>365</v>
      </c>
    </row>
    <row r="6" spans="1:4">
      <c r="A6" s="20" t="s">
        <v>115</v>
      </c>
      <c r="B6" s="122">
        <f>'수탁기관 분배량 시뮬레이션'!$D70</f>
        <v>45722</v>
      </c>
      <c r="C6" s="122">
        <f t="shared" si="0"/>
        <v>45357</v>
      </c>
      <c r="D6">
        <f t="shared" si="1"/>
        <v>365</v>
      </c>
    </row>
    <row r="7" spans="1:4">
      <c r="A7" s="20" t="s">
        <v>116</v>
      </c>
      <c r="B7" s="122">
        <f>'수탁기관 분배량 시뮬레이션'!$D71</f>
        <v>45722</v>
      </c>
      <c r="C7" s="122">
        <f t="shared" si="0"/>
        <v>45357</v>
      </c>
      <c r="D7">
        <f t="shared" si="1"/>
        <v>365</v>
      </c>
    </row>
    <row r="8" spans="1:4">
      <c r="A8" s="20" t="s">
        <v>117</v>
      </c>
      <c r="B8" s="122">
        <f>'수탁기관 분배량 시뮬레이션'!$D72</f>
        <v>45722</v>
      </c>
      <c r="C8" s="122">
        <f t="shared" si="0"/>
        <v>45357</v>
      </c>
      <c r="D8">
        <f t="shared" si="1"/>
        <v>365</v>
      </c>
    </row>
    <row r="9" spans="1:4">
      <c r="A9" s="20" t="s">
        <v>118</v>
      </c>
      <c r="B9" s="122">
        <f>'수탁기관 분배량 시뮬레이션'!$D73</f>
        <v>45722</v>
      </c>
      <c r="C9" s="122">
        <f t="shared" si="0"/>
        <v>45357</v>
      </c>
      <c r="D9">
        <f t="shared" si="1"/>
        <v>365</v>
      </c>
    </row>
    <row r="10" spans="1:4">
      <c r="A10" s="20" t="s">
        <v>119</v>
      </c>
      <c r="B10" s="122">
        <f>'수탁기관 분배량 시뮬레이션'!$D74</f>
        <v>45722</v>
      </c>
      <c r="C10" s="122">
        <f t="shared" si="0"/>
        <v>45357</v>
      </c>
      <c r="D10">
        <f t="shared" si="1"/>
        <v>365</v>
      </c>
    </row>
    <row r="11" spans="1:4">
      <c r="A11" s="20" t="s">
        <v>120</v>
      </c>
      <c r="B11" s="122">
        <f>'수탁기관 분배량 시뮬레이션'!$D75</f>
        <v>45722</v>
      </c>
      <c r="C11" s="122">
        <f t="shared" si="0"/>
        <v>45357</v>
      </c>
      <c r="D11">
        <f t="shared" si="1"/>
        <v>365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5</vt:i4>
      </vt:variant>
    </vt:vector>
  </HeadingPairs>
  <TitlesOfParts>
    <vt:vector size="12" baseType="lpstr">
      <vt:lpstr>안내사항</vt:lpstr>
      <vt:lpstr>금액방식-고정가격(일반)</vt:lpstr>
      <vt:lpstr>금액방식-고정가격(절충)</vt:lpstr>
      <vt:lpstr>금액방식-변동가격</vt:lpstr>
      <vt:lpstr>지분방식</vt:lpstr>
      <vt:lpstr>수탁기관 분배량 시뮬레이션</vt:lpstr>
      <vt:lpstr>산출 Sheet</vt:lpstr>
      <vt:lpstr>'금액방식-고정가격(일반)'!Print_Area</vt:lpstr>
      <vt:lpstr>'금액방식-고정가격(절충)'!Print_Area</vt:lpstr>
      <vt:lpstr>'금액방식-변동가격'!Print_Area</vt:lpstr>
      <vt:lpstr>'수탁기관 분배량 시뮬레이션'!Print_Area</vt:lpstr>
      <vt:lpstr>지분방식!Print_Area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2025-03-05T04:35:13Z</dcterms:modified>
</cp:coreProperties>
</file>